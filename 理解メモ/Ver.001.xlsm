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492" firstSheet="17" activeTab="20"/>
  </bookViews>
  <sheets>
    <sheet name="表紙" sheetId="2" r:id="rId1"/>
    <sheet name="履歴" sheetId="4" r:id="rId2"/>
    <sheet name="目録" sheetId="15" r:id="rId3"/>
    <sheet name="敬体形" sheetId="1" r:id="rId4"/>
    <sheet name="簡体形" sheetId="3" r:id="rId5"/>
    <sheet name="尊他语" sheetId="5" r:id="rId6"/>
    <sheet name="自謙語" sheetId="6" r:id="rId7"/>
    <sheet name="数量詞" sheetId="8" r:id="rId8"/>
    <sheet name="数量単位" sheetId="7" r:id="rId9"/>
    <sheet name="序数" sheetId="9" r:id="rId10"/>
    <sheet name="日" sheetId="11" r:id="rId11"/>
    <sheet name="他の時間" sheetId="12" r:id="rId12"/>
    <sheet name="世界各国" sheetId="13" r:id="rId13"/>
    <sheet name="英語" sheetId="14" r:id="rId14"/>
    <sheet name="コンピューター" sheetId="16" r:id="rId15"/>
    <sheet name="日本人はよく使うの表現抽出" sheetId="17" r:id="rId16"/>
    <sheet name="自他動詞区別方法" sheetId="21" r:id="rId17"/>
    <sheet name="常用自他動詞一覧表" sheetId="22" r:id="rId18"/>
    <sheet name="五类动词和一类动词的区分" sheetId="19" r:id="rId19"/>
    <sheet name="日语动词的12类边形" sheetId="20" r:id="rId20"/>
    <sheet name="单词长短音规律" sheetId="23" r:id="rId21"/>
    <sheet name="ように" sheetId="24" r:id="rId22"/>
  </sheets>
  <definedNames>
    <definedName name="_xlnm.Print_Area" localSheetId="0">表紙!$A$1:$I$44</definedName>
    <definedName name="_xlnm.Print_Area" localSheetId="4">簡体形!$A$1:$H$50</definedName>
    <definedName name="_xlnm.Print_Area" localSheetId="3">敬体形!$A$1:$H$49</definedName>
    <definedName name="_xlnm.Print_Area" localSheetId="1">履歴!$A$1:$H$50</definedName>
    <definedName name="_xlnm.Print_Area" localSheetId="10">日!$A$1:$M$50</definedName>
    <definedName name="_xlnm.Print_Area" localSheetId="12">世界各国!$A$1:$L$50</definedName>
    <definedName name="_xlnm.Print_Area" localSheetId="7">数量詞!$A$1:$L$50</definedName>
    <definedName name="_xlnm.Print_Area" localSheetId="8">数量単位!$A$1:$L$50</definedName>
    <definedName name="_xlnm.Print_Area" localSheetId="11">他の時間!$A$1:$L$50</definedName>
    <definedName name="_xlnm.Print_Area" localSheetId="9">序数!$A$1:$L$50</definedName>
    <definedName name="_xlnm.Print_Area" localSheetId="13">英語!$A$1:$J$50</definedName>
    <definedName name="_xlnm.Print_Area" localSheetId="6">自謙語!$A$1:$L$50</definedName>
    <definedName name="_xlnm.Print_Area" localSheetId="5">尊他语!$A$1:$J$50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C9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①お＋漢字詞；
②ご＋和語詞；特例：お弁当、お返事(ご返事)、お札＜さつ＞：</t>
        </r>
      </text>
    </comment>
    <comment ref="E15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陳さん、いらっしゃいますか？</t>
        </r>
      </text>
    </comment>
    <comment ref="E16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全くおっしゃったとおりです</t>
        </r>
      </text>
    </comment>
  </commentList>
</comments>
</file>

<file path=xl/sharedStrings.xml><?xml version="1.0" encoding="utf-8"?>
<sst xmlns="http://schemas.openxmlformats.org/spreadsheetml/2006/main" count="645" uniqueCount="553">
  <si>
    <t xml:space="preserve">                                                                                              </t>
  </si>
  <si>
    <t>時間</t>
  </si>
  <si>
    <t>確認者</t>
  </si>
  <si>
    <t>作成者</t>
  </si>
  <si>
    <t>張朋
2020/9/20</t>
  </si>
  <si>
    <t>Ｎo.</t>
  </si>
  <si>
    <t>変更内容</t>
  </si>
  <si>
    <t>担当者</t>
  </si>
  <si>
    <t>テンプレートを添付する</t>
  </si>
  <si>
    <t>張朋</t>
  </si>
  <si>
    <t>「尊他語」シートを添付する</t>
  </si>
  <si>
    <t>「自謙語」シートを添付する</t>
  </si>
  <si>
    <t>目録</t>
  </si>
  <si>
    <t>敬体形</t>
  </si>
  <si>
    <t>簡体形</t>
  </si>
  <si>
    <r>
      <rPr>
        <u/>
        <sz val="11"/>
        <color theme="10"/>
        <rFont val="宋体"/>
        <charset val="134"/>
        <scheme val="minor"/>
      </rPr>
      <t>尊他</t>
    </r>
    <r>
      <rPr>
        <u/>
        <sz val="11"/>
        <color theme="10"/>
        <rFont val="宋体"/>
        <charset val="134"/>
        <scheme val="minor"/>
      </rPr>
      <t>语</t>
    </r>
  </si>
  <si>
    <t>自謙語</t>
  </si>
  <si>
    <t>数量詞</t>
  </si>
  <si>
    <t>数量単位</t>
  </si>
  <si>
    <t>序数</t>
  </si>
  <si>
    <t>日</t>
  </si>
  <si>
    <t>他の時間</t>
  </si>
  <si>
    <t>世界各国</t>
  </si>
  <si>
    <t>英語</t>
  </si>
  <si>
    <r>
      <rPr>
        <sz val="11"/>
        <color theme="1"/>
        <rFont val="MS Gothic"/>
        <charset val="128"/>
      </rPr>
      <t>名</t>
    </r>
    <r>
      <rPr>
        <sz val="11"/>
        <color theme="1"/>
        <rFont val="宋体"/>
        <charset val="134"/>
      </rPr>
      <t>词谓语形式</t>
    </r>
  </si>
  <si>
    <r>
      <rPr>
        <sz val="11"/>
        <color theme="1"/>
        <rFont val="宋体"/>
        <charset val="134"/>
      </rPr>
      <t>现</t>
    </r>
    <r>
      <rPr>
        <sz val="11"/>
        <color theme="1"/>
        <rFont val="MS Gothic"/>
        <charset val="128"/>
      </rPr>
      <t>在将来肯定</t>
    </r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</si>
  <si>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+です</t>
    </r>
  </si>
  <si>
    <r>
      <rPr>
        <sz val="11"/>
        <color theme="1"/>
        <rFont val="宋体"/>
        <charset val="134"/>
      </rPr>
      <t>现</t>
    </r>
    <r>
      <rPr>
        <sz val="11"/>
        <color theme="1"/>
        <rFont val="MS Gothic"/>
        <charset val="128"/>
      </rPr>
      <t>在将来否定</t>
    </r>
  </si>
  <si>
    <t>名詞+ではありません</t>
  </si>
  <si>
    <r>
      <rPr>
        <sz val="11"/>
        <color theme="1"/>
        <rFont val="宋体"/>
        <charset val="134"/>
      </rPr>
      <t>过</t>
    </r>
    <r>
      <rPr>
        <sz val="11"/>
        <color theme="1"/>
        <rFont val="MS Gothic"/>
        <charset val="128"/>
      </rPr>
      <t>去肯定</t>
    </r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</si>
  <si>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+でした</t>
    </r>
  </si>
  <si>
    <r>
      <rPr>
        <sz val="11"/>
        <color theme="1"/>
        <rFont val="宋体"/>
        <charset val="134"/>
      </rPr>
      <t>过</t>
    </r>
    <r>
      <rPr>
        <sz val="11"/>
        <color theme="1"/>
        <rFont val="MS Gothic"/>
        <charset val="128"/>
      </rPr>
      <t>去否定</t>
    </r>
  </si>
  <si>
    <t>名詞+ではありませんでした</t>
  </si>
  <si>
    <r>
      <rPr>
        <sz val="11"/>
        <color theme="1"/>
        <rFont val="宋体"/>
        <charset val="134"/>
      </rPr>
      <t>动词谓语</t>
    </r>
    <r>
      <rPr>
        <sz val="11"/>
        <color theme="1"/>
        <rFont val="MS Gothic"/>
        <charset val="128"/>
      </rPr>
      <t>形式</t>
    </r>
  </si>
  <si>
    <t>動詞連用形+ます</t>
  </si>
  <si>
    <t>動詞連用形+ません</t>
  </si>
  <si>
    <t>動詞連用形+ました</t>
  </si>
  <si>
    <t>動詞連用形+ませんでした</t>
  </si>
  <si>
    <r>
      <rPr>
        <sz val="11"/>
        <color theme="1"/>
        <rFont val="MS Gothic"/>
        <charset val="128"/>
      </rPr>
      <t>イA</t>
    </r>
    <r>
      <rPr>
        <sz val="11"/>
        <color theme="1"/>
        <rFont val="宋体"/>
        <charset val="134"/>
      </rPr>
      <t>谓语形式</t>
    </r>
  </si>
  <si>
    <t>イAい+です</t>
  </si>
  <si>
    <t>い-&gt;く+ないです</t>
  </si>
  <si>
    <t>い-&gt;かったです</t>
  </si>
  <si>
    <t>い-&gt;くなっかたです</t>
  </si>
  <si>
    <r>
      <rPr>
        <sz val="11"/>
        <color theme="1"/>
        <rFont val="MS Gothic"/>
        <charset val="128"/>
      </rPr>
      <t>ナA</t>
    </r>
    <r>
      <rPr>
        <sz val="11"/>
        <color theme="1"/>
        <rFont val="宋体"/>
        <charset val="134"/>
      </rPr>
      <t>谓语</t>
    </r>
    <r>
      <rPr>
        <sz val="11"/>
        <color theme="1"/>
        <rFont val="MS Gothic"/>
        <charset val="128"/>
      </rPr>
      <t>形式</t>
    </r>
  </si>
  <si>
    <r>
      <rPr>
        <sz val="11"/>
        <color theme="1"/>
        <rFont val="MS Gothic"/>
        <charset val="128"/>
      </rPr>
      <t>ナA</t>
    </r>
    <r>
      <rPr>
        <sz val="11"/>
        <color theme="1"/>
        <rFont val="MS PGothic"/>
        <charset val="128"/>
      </rPr>
      <t>+です</t>
    </r>
  </si>
  <si>
    <t>ナA+ではありません</t>
  </si>
  <si>
    <t>ナA+でした</t>
  </si>
  <si>
    <t>ナA+ではありませんでした</t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</si>
  <si>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+だ</t>
    </r>
  </si>
  <si>
    <t>名詞+ではない</t>
  </si>
  <si>
    <r>
      <rPr>
        <sz val="11"/>
        <color theme="1"/>
        <rFont val="MS Gothic"/>
        <charset val="128"/>
      </rPr>
      <t>名詞</t>
    </r>
    <r>
      <rPr>
        <sz val="11"/>
        <color theme="1"/>
        <rFont val="MS PGothic"/>
        <charset val="128"/>
      </rPr>
      <t>+だった</t>
    </r>
  </si>
  <si>
    <t>名詞+ではなっかた</t>
  </si>
  <si>
    <t>基本形</t>
  </si>
  <si>
    <t>動詞ない形</t>
  </si>
  <si>
    <t>動詞た形</t>
  </si>
  <si>
    <t>動詞なかった形</t>
  </si>
  <si>
    <t>イAい</t>
  </si>
  <si>
    <t>い-&gt;く+ない</t>
  </si>
  <si>
    <t>い-&gt;かった</t>
  </si>
  <si>
    <t>い-&gt;くなっかた</t>
  </si>
  <si>
    <r>
      <rPr>
        <sz val="11"/>
        <color theme="1"/>
        <rFont val="MS Gothic"/>
        <charset val="128"/>
      </rPr>
      <t>ナA</t>
    </r>
    <r>
      <rPr>
        <sz val="11"/>
        <color theme="1"/>
        <rFont val="MS PGothic"/>
        <charset val="128"/>
      </rPr>
      <t>+だ</t>
    </r>
  </si>
  <si>
    <t>ナA+ではない</t>
  </si>
  <si>
    <t>ナA+だった</t>
  </si>
  <si>
    <t>ナA+ではなっかた</t>
  </si>
  <si>
    <r>
      <rPr>
        <sz val="11"/>
        <color theme="1"/>
        <rFont val="MS Gothic"/>
        <charset val="128"/>
      </rPr>
      <t>尊他</t>
    </r>
    <r>
      <rPr>
        <sz val="11"/>
        <color theme="1"/>
        <rFont val="ｍｓ"/>
        <charset val="134"/>
      </rPr>
      <t>语</t>
    </r>
  </si>
  <si>
    <t>名詞</t>
  </si>
  <si>
    <t>動詞</t>
  </si>
  <si>
    <t>形容詞</t>
  </si>
  <si>
    <t>少数副詞</t>
  </si>
  <si>
    <t>名詞一覧表</t>
  </si>
  <si>
    <t>名詞自身表示敬意</t>
  </si>
  <si>
    <t>あなた、どなた、この＼その＼あの＼どの方＼こちら＼そちら＼どちら＼先生＼教授＼部長＼社長</t>
  </si>
  <si>
    <r>
      <rPr>
        <sz val="11"/>
        <color theme="1"/>
        <rFont val="MS Gothic"/>
        <charset val="128"/>
      </rPr>
      <t>加前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「お」「ご」</t>
    </r>
  </si>
  <si>
    <r>
      <rPr>
        <sz val="11"/>
        <color theme="1"/>
        <rFont val="MS Gothic"/>
        <charset val="128"/>
      </rPr>
      <t>お母さん、お父さん、お話、お宅、お電話、お礼、ご都合</t>
    </r>
    <r>
      <rPr>
        <sz val="11"/>
        <color rgb="FFFF0000"/>
        <rFont val="MS Gothic"/>
        <charset val="134"/>
      </rPr>
      <t>＜つごう＞</t>
    </r>
  </si>
  <si>
    <t>※都合＜つごう＞：状況の意味</t>
  </si>
  <si>
    <r>
      <rPr>
        <sz val="11"/>
        <color theme="1"/>
        <rFont val="MS Gothic"/>
        <charset val="128"/>
      </rPr>
      <t>加后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「様」「さん」「殿」「氏」「がた」</t>
    </r>
  </si>
  <si>
    <t>※殿＜どの＞
※がた:先生がた</t>
  </si>
  <si>
    <t>動詞一覧表</t>
  </si>
  <si>
    <t>専用動詞</t>
  </si>
  <si>
    <t>普通体形</t>
  </si>
  <si>
    <t>いらっしゃる</t>
  </si>
  <si>
    <t>いらっしゃいます</t>
  </si>
  <si>
    <t>行く/来る/いる</t>
  </si>
  <si>
    <t>おっしゃる</t>
  </si>
  <si>
    <t>おっしゃいます</t>
  </si>
  <si>
    <t>言う</t>
  </si>
  <si>
    <t>一般動詞</t>
  </si>
  <si>
    <t>表現方式</t>
  </si>
  <si>
    <t>和語詞「Ⅰ・Ⅱ類動詞」</t>
  </si>
  <si>
    <t>漢字詞「Ⅲ類動詞」</t>
  </si>
  <si>
    <t>お/ご＋V＋になる</t>
  </si>
  <si>
    <t>お＋V連用形＋になる</t>
  </si>
  <si>
    <t>ご＋動詞詞幹＋になる</t>
  </si>
  <si>
    <t>お/ご＋V＋ください</t>
  </si>
  <si>
    <t>お＋V連用形＋ください</t>
  </si>
  <si>
    <t>ご＋動詞詞幹＋ください</t>
  </si>
  <si>
    <t>お/ご＋V＋です</t>
  </si>
  <si>
    <t>お＋V連用形＋です</t>
  </si>
  <si>
    <t>ご＋動詞詞幹＋です</t>
  </si>
  <si>
    <t>Vれる/くれる</t>
  </si>
  <si>
    <t>少し副詞</t>
  </si>
  <si>
    <t>名詞一覧</t>
  </si>
  <si>
    <t>名詞自身表示自謙</t>
  </si>
  <si>
    <t>わたくし、父、母、うち、家内</t>
  </si>
  <si>
    <r>
      <rPr>
        <sz val="11"/>
        <color theme="1"/>
        <rFont val="MS Gothic"/>
        <charset val="128"/>
      </rPr>
      <t>加前</t>
    </r>
    <r>
      <rPr>
        <sz val="11"/>
        <color theme="1"/>
        <rFont val="宋体"/>
        <charset val="134"/>
      </rPr>
      <t>缀</t>
    </r>
    <r>
      <rPr>
        <sz val="11"/>
        <color theme="1"/>
        <rFont val="MS Gothic"/>
        <charset val="134"/>
      </rPr>
      <t>お/ご</t>
    </r>
  </si>
  <si>
    <t>お見舞い、ご挨拶、お手紙</t>
  </si>
  <si>
    <t>使用表示自謙意味の漢字詞</t>
  </si>
  <si>
    <t>弊社、弊誌、小社、小店、拙者、拙稿、愚作、愚見</t>
  </si>
  <si>
    <t>いたす</t>
  </si>
  <si>
    <t>いたします</t>
  </si>
  <si>
    <t>する</t>
  </si>
  <si>
    <t>申す</t>
  </si>
  <si>
    <t>申します</t>
  </si>
  <si>
    <t>いただく</t>
  </si>
  <si>
    <t>頂きます</t>
  </si>
  <si>
    <t>もらう</t>
  </si>
  <si>
    <t>お/ご＋V＋する/いたす</t>
  </si>
  <si>
    <t>お＋V連用形＋する/いたす</t>
  </si>
  <si>
    <t>ご＋動詞詞幹＋する/いたす</t>
  </si>
  <si>
    <t>数量詞(個数)</t>
  </si>
  <si>
    <t>ひとつ</t>
  </si>
  <si>
    <t>ふたつ</t>
  </si>
  <si>
    <t>みっつ</t>
  </si>
  <si>
    <t>よっつ</t>
  </si>
  <si>
    <t>いつつ</t>
  </si>
  <si>
    <t>むっつ</t>
  </si>
  <si>
    <t>ななつ</t>
  </si>
  <si>
    <t>やっつ</t>
  </si>
  <si>
    <t>ここのつ</t>
  </si>
  <si>
    <t>とお</t>
  </si>
  <si>
    <t>中国語</t>
  </si>
  <si>
    <t>日本語</t>
  </si>
  <si>
    <t>平仮名</t>
  </si>
  <si>
    <t>一个</t>
  </si>
  <si>
    <t>一個</t>
  </si>
  <si>
    <t>いっこ</t>
  </si>
  <si>
    <t>※</t>
  </si>
  <si>
    <t>一个人</t>
  </si>
  <si>
    <t>一人</t>
  </si>
  <si>
    <t>ひとり</t>
  </si>
  <si>
    <t>一次</t>
  </si>
  <si>
    <t>一回</t>
  </si>
  <si>
    <t>いっかい</t>
  </si>
  <si>
    <t>一个月</t>
  </si>
  <si>
    <t>一ヶ月</t>
  </si>
  <si>
    <t>いっかげつ</t>
  </si>
  <si>
    <t>一周</t>
  </si>
  <si>
    <t>一週間</t>
  </si>
  <si>
    <t>いっしゅうかん</t>
  </si>
  <si>
    <r>
      <rPr>
        <sz val="11"/>
        <color theme="1"/>
        <rFont val="MS Gothic"/>
        <charset val="128"/>
      </rPr>
      <t>一</t>
    </r>
    <r>
      <rPr>
        <sz val="11"/>
        <color theme="1"/>
        <rFont val="宋体"/>
        <charset val="134"/>
      </rPr>
      <t>层</t>
    </r>
  </si>
  <si>
    <t>一階</t>
  </si>
  <si>
    <r>
      <rPr>
        <sz val="11"/>
        <color theme="1"/>
        <rFont val="MS Gothic"/>
        <charset val="128"/>
      </rPr>
      <t>一</t>
    </r>
    <r>
      <rPr>
        <sz val="11"/>
        <color theme="1"/>
        <rFont val="宋体"/>
        <charset val="134"/>
      </rPr>
      <t>张（件）</t>
    </r>
  </si>
  <si>
    <t>一枚</t>
  </si>
  <si>
    <t>いちまい</t>
  </si>
  <si>
    <t>一枝</t>
  </si>
  <si>
    <t>一本</t>
  </si>
  <si>
    <t>いっぽん</t>
  </si>
  <si>
    <t>一双</t>
  </si>
  <si>
    <t>一足</t>
  </si>
  <si>
    <t>いっそく</t>
  </si>
  <si>
    <t>一台</t>
  </si>
  <si>
    <t>いちだい</t>
  </si>
  <si>
    <t>一只</t>
  </si>
  <si>
    <t>一匹</t>
  </si>
  <si>
    <t>いっぴき</t>
  </si>
  <si>
    <t>一册</t>
  </si>
  <si>
    <t>一冊</t>
  </si>
  <si>
    <t>いっさつ</t>
  </si>
  <si>
    <t>一卷</t>
  </si>
  <si>
    <t>一巻</t>
  </si>
  <si>
    <t>いっかん</t>
  </si>
  <si>
    <t>第一个</t>
  </si>
  <si>
    <t>一番目</t>
  </si>
  <si>
    <t>いちばんめ</t>
  </si>
  <si>
    <t>第二个</t>
  </si>
  <si>
    <t>二番目</t>
  </si>
  <si>
    <t>にばんめ</t>
  </si>
  <si>
    <t>第三个</t>
  </si>
  <si>
    <t>三番目</t>
  </si>
  <si>
    <t>さんばんめ</t>
  </si>
  <si>
    <t>第四个</t>
  </si>
  <si>
    <t>四番目</t>
  </si>
  <si>
    <t>よんばんめ</t>
  </si>
  <si>
    <t>第五个</t>
  </si>
  <si>
    <t>五番目</t>
  </si>
  <si>
    <t>ごばんめ</t>
  </si>
  <si>
    <t>第六个</t>
  </si>
  <si>
    <t>六番目</t>
  </si>
  <si>
    <t>ろくばんめ</t>
  </si>
  <si>
    <t>第七个</t>
  </si>
  <si>
    <t>七番目</t>
  </si>
  <si>
    <t>しちばんめ</t>
  </si>
  <si>
    <t>第八个</t>
  </si>
  <si>
    <t>八番目</t>
  </si>
  <si>
    <t>はちばんめ</t>
  </si>
  <si>
    <t>第九个</t>
  </si>
  <si>
    <t>九番目</t>
  </si>
  <si>
    <t>きゅうばんめ</t>
  </si>
  <si>
    <t>第十个</t>
  </si>
  <si>
    <t>十番目</t>
  </si>
  <si>
    <t>じゅうばんめ</t>
  </si>
  <si>
    <t>1日</t>
  </si>
  <si>
    <t>一日</t>
  </si>
  <si>
    <t>ついたち</t>
  </si>
  <si>
    <t>2日</t>
  </si>
  <si>
    <t>二日</t>
  </si>
  <si>
    <t>ふつか</t>
  </si>
  <si>
    <t>3日</t>
  </si>
  <si>
    <t>三日</t>
  </si>
  <si>
    <t>みっか</t>
  </si>
  <si>
    <t>4日</t>
  </si>
  <si>
    <t>四日</t>
  </si>
  <si>
    <t>よっか</t>
  </si>
  <si>
    <t>5日</t>
  </si>
  <si>
    <t>五日</t>
  </si>
  <si>
    <t>いつか</t>
  </si>
  <si>
    <t>6日</t>
  </si>
  <si>
    <t>六日</t>
  </si>
  <si>
    <t>むいか</t>
  </si>
  <si>
    <t>7日</t>
  </si>
  <si>
    <t>七日</t>
  </si>
  <si>
    <t>なのか</t>
  </si>
  <si>
    <t>8日</t>
  </si>
  <si>
    <t>八日</t>
  </si>
  <si>
    <t>ようか</t>
  </si>
  <si>
    <t>9日</t>
  </si>
  <si>
    <t>九日</t>
  </si>
  <si>
    <t>ここのか</t>
  </si>
  <si>
    <t>10日</t>
  </si>
  <si>
    <t>十日</t>
  </si>
  <si>
    <t>とおか</t>
  </si>
  <si>
    <t>11日</t>
  </si>
  <si>
    <t>十一日</t>
  </si>
  <si>
    <t>じゅういちにち</t>
  </si>
  <si>
    <t>12日</t>
  </si>
  <si>
    <t>十二日</t>
  </si>
  <si>
    <t>じゅうににち</t>
  </si>
  <si>
    <t>昨天</t>
  </si>
  <si>
    <t>昨日</t>
  </si>
  <si>
    <t>きのう</t>
  </si>
  <si>
    <t>今天</t>
  </si>
  <si>
    <t>今日</t>
  </si>
  <si>
    <t>きょう</t>
  </si>
  <si>
    <t>明天</t>
  </si>
  <si>
    <t>明日</t>
  </si>
  <si>
    <t>あした</t>
  </si>
  <si>
    <t>前天</t>
  </si>
  <si>
    <t>一昨日</t>
  </si>
  <si>
    <t>おととい</t>
  </si>
  <si>
    <t>后天</t>
  </si>
  <si>
    <t>明後日</t>
  </si>
  <si>
    <t>あさって</t>
  </si>
  <si>
    <t>前</t>
  </si>
  <si>
    <t>まえ</t>
  </si>
  <si>
    <t>后</t>
  </si>
  <si>
    <t>後</t>
  </si>
  <si>
    <t>あと</t>
  </si>
  <si>
    <r>
      <rPr>
        <sz val="11"/>
        <color theme="1"/>
        <rFont val="宋体"/>
        <charset val="134"/>
      </rPr>
      <t>这</t>
    </r>
    <r>
      <rPr>
        <sz val="11"/>
        <color theme="1"/>
        <rFont val="MS Gothic"/>
        <charset val="134"/>
      </rPr>
      <t>周</t>
    </r>
  </si>
  <si>
    <t>今週</t>
  </si>
  <si>
    <t>こんしゅう</t>
  </si>
  <si>
    <t>上周</t>
  </si>
  <si>
    <t>先週</t>
  </si>
  <si>
    <t>せんしゅう</t>
  </si>
  <si>
    <t>下周</t>
  </si>
  <si>
    <t>来週</t>
  </si>
  <si>
    <t>らいしゅう</t>
  </si>
  <si>
    <t>早上</t>
  </si>
  <si>
    <t>朝</t>
  </si>
  <si>
    <t>あさ</t>
  </si>
  <si>
    <t>上午</t>
  </si>
  <si>
    <t>午前</t>
  </si>
  <si>
    <t>ごぜん</t>
  </si>
  <si>
    <t>正午</t>
  </si>
  <si>
    <t>しょうご</t>
  </si>
  <si>
    <t>下午</t>
  </si>
  <si>
    <t>午後</t>
  </si>
  <si>
    <t>ごご</t>
  </si>
  <si>
    <r>
      <rPr>
        <sz val="11"/>
        <color theme="1"/>
        <rFont val="MS Gothic"/>
        <charset val="128"/>
      </rPr>
      <t>傍</t>
    </r>
    <r>
      <rPr>
        <sz val="11"/>
        <color theme="1"/>
        <rFont val="宋体"/>
        <charset val="134"/>
      </rPr>
      <t>晚</t>
    </r>
  </si>
  <si>
    <t>夕方</t>
  </si>
  <si>
    <t>ゆうがた</t>
  </si>
  <si>
    <r>
      <rPr>
        <sz val="11"/>
        <color theme="1"/>
        <rFont val="MS Gothic"/>
        <charset val="128"/>
      </rPr>
      <t>夜</t>
    </r>
    <r>
      <rPr>
        <sz val="11"/>
        <color theme="1"/>
        <rFont val="宋体"/>
        <charset val="134"/>
      </rPr>
      <t>晚</t>
    </r>
  </si>
  <si>
    <t>夜</t>
  </si>
  <si>
    <t>よる</t>
  </si>
  <si>
    <t>半夜</t>
  </si>
  <si>
    <t>夜中</t>
  </si>
  <si>
    <t>よなか</t>
  </si>
  <si>
    <t>周末</t>
  </si>
  <si>
    <t>週末</t>
  </si>
  <si>
    <t>しゅうまつ</t>
  </si>
  <si>
    <t>国別</t>
  </si>
  <si>
    <t>アメリカ</t>
  </si>
  <si>
    <t>イギリス</t>
  </si>
  <si>
    <t>カナダ</t>
  </si>
  <si>
    <t>フランス</t>
  </si>
  <si>
    <t>イタリア</t>
  </si>
  <si>
    <t>ロシア</t>
  </si>
  <si>
    <t>ブラジル</t>
  </si>
  <si>
    <t>オーストリア</t>
  </si>
  <si>
    <t>ちょうせん</t>
  </si>
  <si>
    <t>フィリピン</t>
  </si>
  <si>
    <t>シンガポール</t>
  </si>
  <si>
    <t>マレーシア</t>
  </si>
  <si>
    <t>南アフリカ</t>
  </si>
  <si>
    <t>イラク</t>
  </si>
  <si>
    <t>インドネシア</t>
  </si>
  <si>
    <t>ベトナム</t>
  </si>
  <si>
    <t>英語文字</t>
  </si>
  <si>
    <t>A➝G</t>
  </si>
  <si>
    <t>エー、ビー、シー、ディー、イー、エフ、ジー</t>
  </si>
  <si>
    <t>H➝N</t>
  </si>
  <si>
    <t>エイチ、アイ、ジェー、ケー、エル、エム、エヌ</t>
  </si>
  <si>
    <t>O➝T</t>
  </si>
  <si>
    <t>オー、ピー、キュー、アール、エス、ティー</t>
  </si>
  <si>
    <t>U➝Y</t>
  </si>
  <si>
    <t>ユー、ヴイ、ダブリュー、エックス、ワイ、ゼット</t>
  </si>
  <si>
    <t>基本構造</t>
  </si>
  <si>
    <t>マイ　ドキュメント</t>
  </si>
  <si>
    <t>マイ　コンピューター</t>
  </si>
  <si>
    <t>マイ　ネットワック</t>
  </si>
  <si>
    <t>ごみ箱</t>
  </si>
  <si>
    <t>主观就是自己对某事的看法，想法，做事按着自己的想法去做</t>
  </si>
  <si>
    <t>客观就是不管你自己怎么看，怎么想，实际情况就在那摆着，不能因你的想法而改变的</t>
  </si>
  <si>
    <t>話題</t>
  </si>
  <si>
    <t>…が、</t>
  </si>
  <si>
    <t>…ですけど</t>
  </si>
  <si>
    <t>前因後果</t>
  </si>
  <si>
    <t>…だから</t>
  </si>
  <si>
    <t>较主观、较不客气，一副理所当然的样子</t>
  </si>
  <si>
    <t>原则上郑重场合、正式场合、公司环境、对上位者多用「ので」，其余多可以用「から」</t>
  </si>
  <si>
    <t>…ので</t>
  </si>
  <si>
    <t>较客观、较客气，站在客观角度下的结论</t>
  </si>
  <si>
    <t>…なので</t>
  </si>
  <si>
    <t>表示递进</t>
  </si>
  <si>
    <t>…そして</t>
  </si>
  <si>
    <t>…また</t>
  </si>
  <si>
    <t>…それから</t>
  </si>
  <si>
    <t>…これから</t>
  </si>
  <si>
    <t>表示转折</t>
  </si>
  <si>
    <t>…ですけれど</t>
  </si>
  <si>
    <t>…ですけれども</t>
  </si>
  <si>
    <t>そうですね</t>
  </si>
  <si>
    <t>表示感同身身受，一种认同感</t>
  </si>
  <si>
    <t>そうですか</t>
  </si>
  <si>
    <r>
      <rPr>
        <sz val="11"/>
        <color theme="1"/>
        <rFont val="宋体"/>
        <charset val="134"/>
        <scheme val="minor"/>
      </rPr>
      <t>听到新信息时表示回应,…よ⇛そですか</t>
    </r>
    <r>
      <rPr>
        <sz val="11"/>
        <color theme="1"/>
        <rFont val="宋体"/>
        <charset val="128"/>
        <scheme val="minor"/>
      </rPr>
      <t>／そうか</t>
    </r>
  </si>
  <si>
    <t>そうです</t>
  </si>
  <si>
    <t>陈述一个明确的事实。</t>
  </si>
  <si>
    <t>…というと、</t>
  </si>
  <si>
    <r>
      <rPr>
        <sz val="11"/>
        <color theme="1"/>
        <rFont val="MS PGothic"/>
        <charset val="134"/>
      </rPr>
      <t>①</t>
    </r>
    <r>
      <rPr>
        <sz val="11"/>
        <color theme="1"/>
        <rFont val="宋体"/>
        <charset val="134"/>
        <scheme val="minor"/>
      </rPr>
      <t>〔</t>
    </r>
    <r>
      <rPr>
        <sz val="11"/>
        <color theme="1"/>
        <rFont val="宋体"/>
        <charset val="134"/>
        <scheme val="minor"/>
      </rPr>
      <t>=</t>
    </r>
    <r>
      <rPr>
        <sz val="11"/>
        <color theme="1"/>
        <rFont val="宋体"/>
        <charset val="134"/>
        <scheme val="minor"/>
      </rPr>
      <t>つまり〕为什么……呢,因为……</t>
    </r>
  </si>
  <si>
    <r>
      <rPr>
        <sz val="11"/>
        <color theme="1"/>
        <rFont val="MS PGothic"/>
        <charset val="134"/>
      </rPr>
      <t>②</t>
    </r>
    <r>
      <rPr>
        <sz val="11"/>
        <color theme="1"/>
        <rFont val="宋体"/>
        <charset val="134"/>
        <scheme val="minor"/>
      </rPr>
      <t>〔=…といえば〕一说到,提到</t>
    </r>
  </si>
  <si>
    <r>
      <rPr>
        <sz val="11"/>
        <color theme="1"/>
        <rFont val="MS PGothic"/>
        <charset val="134"/>
      </rPr>
      <t>③</t>
    </r>
    <r>
      <rPr>
        <sz val="11"/>
        <color theme="1"/>
        <rFont val="宋体"/>
        <charset val="134"/>
        <scheme val="minor"/>
      </rPr>
      <t>〔=…というのは〕你说的是……</t>
    </r>
  </si>
  <si>
    <t>…ことができます</t>
  </si>
  <si>
    <t>ようです~经过大脑的判断。</t>
  </si>
  <si>
    <t>そうです~是用眼睛看到的。</t>
  </si>
  <si>
    <t>らしい~是用耳朵听见的。</t>
  </si>
  <si>
    <t>自他動詞区別方法</t>
  </si>
  <si>
    <t>言葉類</t>
  </si>
  <si>
    <t>判定方法</t>
  </si>
  <si>
    <t>自動詞</t>
  </si>
  <si>
    <t xml:space="preserve">1.-aruで終わる動詞
2.-reruで終わる動詞
</t>
  </si>
  <si>
    <t>他動詞</t>
  </si>
  <si>
    <t>1.-aru⇛-eruで終わる動詞
2.-suで終わる動詞</t>
  </si>
  <si>
    <t>自他動詞使用方法区分</t>
  </si>
  <si>
    <t>区別観点</t>
  </si>
  <si>
    <t>用例</t>
  </si>
  <si>
    <t>⇛状態</t>
  </si>
  <si>
    <t>⇛状態変化の原因</t>
  </si>
  <si>
    <t>説明：</t>
  </si>
  <si>
    <t>1.語感としては</t>
  </si>
  <si>
    <t>自動詞：状態の変化</t>
  </si>
  <si>
    <t>他動詞：状態変化の原因</t>
  </si>
  <si>
    <t>例：</t>
  </si>
  <si>
    <t>A:ドアが開いた(自動詞)</t>
  </si>
  <si>
    <t>B:ドアを開けた(他動詞)</t>
  </si>
  <si>
    <t>A:火が消える(自動詞)</t>
  </si>
  <si>
    <t>B:火を消す(他動詞)</t>
  </si>
  <si>
    <t>上がる</t>
  </si>
  <si>
    <t>上げる</t>
  </si>
  <si>
    <t>暖まる</t>
  </si>
  <si>
    <t>暖める</t>
  </si>
  <si>
    <t>当たる</t>
  </si>
  <si>
    <t>当てる</t>
  </si>
  <si>
    <t>集まる</t>
  </si>
  <si>
    <t>集める</t>
  </si>
  <si>
    <t>高まる</t>
  </si>
  <si>
    <t>高める</t>
  </si>
  <si>
    <t>伝わる</t>
  </si>
  <si>
    <t>伝える</t>
  </si>
  <si>
    <t>改まる</t>
  </si>
  <si>
    <t>改める</t>
  </si>
  <si>
    <t>薄まる</t>
  </si>
  <si>
    <t>薄める</t>
  </si>
  <si>
    <t>変わる</t>
  </si>
  <si>
    <t>変える</t>
  </si>
  <si>
    <t>終わる</t>
  </si>
  <si>
    <t>終える</t>
  </si>
  <si>
    <t>掛かる</t>
  </si>
  <si>
    <t>掛ける</t>
  </si>
  <si>
    <t>重なる</t>
  </si>
  <si>
    <t>重ねる</t>
  </si>
  <si>
    <t>静まる</t>
  </si>
  <si>
    <t>静める</t>
  </si>
  <si>
    <t>曲がる</t>
  </si>
  <si>
    <t>曲げる</t>
  </si>
  <si>
    <t>止まる</t>
  </si>
  <si>
    <t>止める</t>
  </si>
  <si>
    <t>始まる</t>
  </si>
  <si>
    <t>始める</t>
  </si>
  <si>
    <t>壊れる</t>
  </si>
  <si>
    <t>壊す</t>
  </si>
  <si>
    <t>外れる</t>
  </si>
  <si>
    <t>外す</t>
  </si>
  <si>
    <t>汚れる</t>
  </si>
  <si>
    <t>汚す</t>
  </si>
  <si>
    <t>倒れる</t>
  </si>
  <si>
    <t>倒す</t>
  </si>
  <si>
    <t>流れる</t>
  </si>
  <si>
    <t>流す</t>
  </si>
  <si>
    <t>乱れる</t>
  </si>
  <si>
    <t>乱す</t>
  </si>
  <si>
    <t>崩れる</t>
  </si>
  <si>
    <t>崩す</t>
  </si>
  <si>
    <t>隠れる</t>
  </si>
  <si>
    <t>隠す</t>
  </si>
  <si>
    <t>売れる</t>
  </si>
  <si>
    <t>売る</t>
  </si>
  <si>
    <t>割れる</t>
  </si>
  <si>
    <t>割る</t>
  </si>
  <si>
    <t>折れる</t>
  </si>
  <si>
    <t>折る</t>
  </si>
  <si>
    <t>切れる</t>
  </si>
  <si>
    <t>切る</t>
  </si>
  <si>
    <t>破れる</t>
  </si>
  <si>
    <t>破る</t>
  </si>
  <si>
    <t>写る</t>
  </si>
  <si>
    <t>写す</t>
  </si>
  <si>
    <t>移る</t>
  </si>
  <si>
    <t>移す</t>
  </si>
  <si>
    <t>出る</t>
  </si>
  <si>
    <t>出す</t>
  </si>
  <si>
    <t>帰る</t>
  </si>
  <si>
    <t>帰す</t>
  </si>
  <si>
    <t>直る</t>
  </si>
  <si>
    <t>直す</t>
  </si>
  <si>
    <t>残る</t>
  </si>
  <si>
    <t>残す</t>
  </si>
  <si>
    <t>回る</t>
  </si>
  <si>
    <t>回す</t>
  </si>
  <si>
    <t>戻る</t>
  </si>
  <si>
    <t>戻す</t>
  </si>
  <si>
    <t>遅れる</t>
  </si>
  <si>
    <t>遅らす</t>
  </si>
  <si>
    <t>枯れる</t>
  </si>
  <si>
    <t>枯らす</t>
  </si>
  <si>
    <t>冷える</t>
  </si>
  <si>
    <t>冷やす</t>
  </si>
  <si>
    <t>逃れる</t>
  </si>
  <si>
    <t>逃す</t>
  </si>
  <si>
    <t>揺れる</t>
  </si>
  <si>
    <t>揺らる</t>
  </si>
  <si>
    <t>増える</t>
  </si>
  <si>
    <t>増やす</t>
  </si>
  <si>
    <t>消える</t>
  </si>
  <si>
    <t>消す(例外)</t>
  </si>
  <si>
    <t>働く</t>
  </si>
  <si>
    <t>働かす</t>
  </si>
  <si>
    <t>乾く</t>
  </si>
  <si>
    <t>乾かす</t>
  </si>
  <si>
    <t>飛ぶ</t>
  </si>
  <si>
    <t>飛ばす</t>
  </si>
  <si>
    <t>泣く</t>
  </si>
  <si>
    <t>泣かす</t>
  </si>
  <si>
    <t>沸く</t>
  </si>
  <si>
    <t>沸かす</t>
  </si>
  <si>
    <t>減る</t>
  </si>
  <si>
    <t>減らす</t>
  </si>
  <si>
    <t>及ぶ</t>
  </si>
  <si>
    <t>及ばす</t>
  </si>
  <si>
    <t>起きる</t>
  </si>
  <si>
    <t>起こす</t>
  </si>
  <si>
    <t>落ちる</t>
  </si>
  <si>
    <t>落とす</t>
  </si>
  <si>
    <t>降りる</t>
  </si>
  <si>
    <t>降ろす</t>
  </si>
  <si>
    <t>下りる</t>
  </si>
  <si>
    <t>下ろす</t>
  </si>
  <si>
    <t>滅びる</t>
  </si>
  <si>
    <t>滅ぼす</t>
  </si>
  <si>
    <t>特別</t>
  </si>
  <si>
    <t>寝る</t>
  </si>
  <si>
    <t>寝かせる</t>
  </si>
  <si>
    <t>乗る</t>
  </si>
  <si>
    <t>乗らせる</t>
  </si>
  <si>
    <t>載る</t>
  </si>
  <si>
    <t>載せる</t>
  </si>
  <si>
    <t>震える</t>
  </si>
  <si>
    <t>震わせる</t>
  </si>
  <si>
    <t>見える</t>
  </si>
  <si>
    <t>見る</t>
  </si>
  <si>
    <t>煮える</t>
  </si>
  <si>
    <t>煮る</t>
  </si>
  <si>
    <t>要る</t>
  </si>
  <si>
    <t>気に入る</t>
  </si>
  <si>
    <t>知る</t>
  </si>
  <si>
    <t>店に入る</t>
  </si>
  <si>
    <t>走る</t>
  </si>
  <si>
    <t>参る</t>
  </si>
  <si>
    <t>アジる</t>
  </si>
  <si>
    <t>いじる</t>
  </si>
  <si>
    <t>煎る</t>
  </si>
  <si>
    <t>限る</t>
  </si>
  <si>
    <t>かじる</t>
  </si>
  <si>
    <t>くれる</t>
  </si>
  <si>
    <t>ケチる</t>
  </si>
  <si>
    <t>こじる</t>
  </si>
  <si>
    <r>
      <rPr>
        <sz val="8"/>
        <color theme="1"/>
        <rFont val="Microsoft YaHei UI"/>
        <charset val="134"/>
      </rPr>
      <t>长音：假名发音时，如果将它的</t>
    </r>
    <r>
      <rPr>
        <sz val="8"/>
        <color rgb="FFFF0000"/>
        <rFont val="Microsoft YaHei UI"/>
        <charset val="134"/>
      </rPr>
      <t>元音</t>
    </r>
    <r>
      <rPr>
        <sz val="8"/>
        <color theme="1"/>
        <rFont val="Microsoft YaHei UI"/>
        <charset val="134"/>
      </rPr>
      <t>拉长一拍则为长音。</t>
    </r>
  </si>
  <si>
    <t>元音</t>
  </si>
  <si>
    <t>规律</t>
  </si>
  <si>
    <t>特例</t>
  </si>
  <si>
    <t>あ</t>
  </si>
  <si>
    <t>从左往右数，第一个あ段发音后面加“あ”</t>
  </si>
  <si>
    <t>い</t>
  </si>
  <si>
    <t>从左往右数，第一个い段发音后面加“い”</t>
  </si>
  <si>
    <t>う</t>
  </si>
  <si>
    <t>从左往右数，第一个う段发音后面加“う”</t>
  </si>
  <si>
    <t>え</t>
  </si>
  <si>
    <t>从左往右数，第一个え段发音后面加“い”</t>
  </si>
  <si>
    <t>お</t>
  </si>
  <si>
    <t>从左往右数，第一个お段发音后面加“う”</t>
  </si>
  <si>
    <t>片假名长音用——</t>
  </si>
  <si>
    <t>参考以上规律</t>
  </si>
  <si>
    <t>ノート、スキー、コーヒー、スープ</t>
  </si>
  <si>
    <t>前鼻音/后鼻音</t>
  </si>
  <si>
    <r>
      <rPr>
        <sz val="8"/>
        <color theme="1"/>
        <rFont val="Microsoft YaHei UI"/>
        <charset val="134"/>
      </rPr>
      <t>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前鼻音</t>
    </r>
    <r>
      <rPr>
        <sz val="8"/>
        <color theme="1"/>
        <rFont val="Microsoft YaHei UI"/>
        <charset val="134"/>
      </rPr>
      <t>，在日语读音中就会带</t>
    </r>
    <r>
      <rPr>
        <sz val="8"/>
        <color rgb="FFFF0000"/>
        <rFont val="Microsoft YaHei UI"/>
        <charset val="134"/>
      </rPr>
      <t>拨音「ん」</t>
    </r>
    <r>
      <rPr>
        <sz val="8"/>
        <color theme="1"/>
        <rFont val="Microsoft YaHei UI"/>
        <charset val="134"/>
      </rPr>
      <t>；
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后鼻音</t>
    </r>
    <r>
      <rPr>
        <sz val="8"/>
        <color theme="1"/>
        <rFont val="Microsoft YaHei UI"/>
        <charset val="134"/>
      </rPr>
      <t>，在日语读音中就会带有</t>
    </r>
    <r>
      <rPr>
        <sz val="8"/>
        <color rgb="FFFF0000"/>
        <rFont val="Microsoft YaHei UI"/>
        <charset val="134"/>
      </rPr>
      <t>长音</t>
    </r>
    <r>
      <rPr>
        <sz val="8"/>
        <color theme="1"/>
        <rFont val="Microsoft YaHei UI"/>
        <charset val="134"/>
      </rPr>
      <t>。</t>
    </r>
  </si>
  <si>
    <r>
      <rPr>
        <sz val="8"/>
        <color theme="1"/>
        <rFont val="Microsoft YaHei UI"/>
        <charset val="134"/>
      </rPr>
      <t xml:space="preserve">専门（ zhuan men ）－－せんもん
横断（ heng duan ）－－おうだん
途中（ tu zhong ）   －－とちゅう  </t>
    </r>
    <r>
      <rPr>
        <sz val="8"/>
        <color rgb="FFFF0000"/>
        <rFont val="Microsoft YaHei UI"/>
        <charset val="134"/>
      </rPr>
      <t>(拗音的长音)</t>
    </r>
    <r>
      <rPr>
        <sz val="8"/>
        <color theme="1"/>
        <rFont val="Microsoft YaHei UI"/>
        <charset val="134"/>
      </rPr>
      <t xml:space="preserve">
空港（ kong gang ）－－くうこう</t>
    </r>
  </si>
  <si>
    <t>肯定（ ken ding ）－－こうてい</t>
  </si>
  <si>
    <t>单元音/双元音</t>
  </si>
  <si>
    <r>
      <rPr>
        <sz val="8"/>
        <color theme="1"/>
        <rFont val="Microsoft YaHei UI"/>
        <charset val="134"/>
      </rPr>
      <t>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单元音</t>
    </r>
    <r>
      <rPr>
        <sz val="8"/>
        <color theme="1"/>
        <rFont val="Microsoft YaHei UI"/>
        <charset val="134"/>
      </rPr>
      <t>，在日语读音中就会是</t>
    </r>
    <r>
      <rPr>
        <sz val="8"/>
        <color rgb="FFFF0000"/>
        <rFont val="Microsoft YaHei UI"/>
        <charset val="134"/>
      </rPr>
      <t>短音</t>
    </r>
    <r>
      <rPr>
        <sz val="8"/>
        <color theme="1"/>
        <rFont val="Microsoft YaHei UI"/>
        <charset val="134"/>
      </rPr>
      <t>；
如果单词的汉字在</t>
    </r>
    <r>
      <rPr>
        <sz val="8"/>
        <color rgb="FF0000E0"/>
        <rFont val="Microsoft YaHei UI"/>
        <charset val="134"/>
      </rPr>
      <t>中文汉语拼音</t>
    </r>
    <r>
      <rPr>
        <sz val="8"/>
        <color theme="1"/>
        <rFont val="Microsoft YaHei UI"/>
        <charset val="134"/>
      </rPr>
      <t>中是</t>
    </r>
    <r>
      <rPr>
        <sz val="8"/>
        <color rgb="FFFF0000"/>
        <rFont val="Microsoft YaHei UI"/>
        <charset val="134"/>
      </rPr>
      <t>双元音</t>
    </r>
    <r>
      <rPr>
        <sz val="8"/>
        <color theme="1"/>
        <rFont val="Microsoft YaHei UI"/>
        <charset val="134"/>
      </rPr>
      <t>，在日语读音中就会是</t>
    </r>
    <r>
      <rPr>
        <sz val="8"/>
        <color rgb="FFFF0000"/>
        <rFont val="Microsoft YaHei UI"/>
        <charset val="134"/>
      </rPr>
      <t>长音</t>
    </r>
    <r>
      <rPr>
        <sz val="8"/>
        <color theme="1"/>
        <rFont val="Microsoft YaHei UI"/>
        <charset val="134"/>
      </rPr>
      <t>。</t>
    </r>
  </si>
  <si>
    <t>主要（ zhu yao ） －－しゅよう
书道（ shu dao ） －－しょどう
调査（ diao cha ）－－ちょうさ
参考（ can kao ） －－さんこう</t>
  </si>
  <si>
    <t>-</t>
  </si>
  <si>
    <t xml:space="preserve">   第一个汉字最后一个假名
第二个汉字第一个假名</t>
  </si>
  <si>
    <r>
      <rPr>
        <sz val="8"/>
        <color theme="1"/>
        <rFont val="Microsoft YaHei UI"/>
        <charset val="134"/>
      </rPr>
      <t>如果
第一个汉字的最后一个假名是「つ」，
第二个汉字的第一个假名在「か／さ／た／</t>
    </r>
    <r>
      <rPr>
        <sz val="8"/>
        <color rgb="FFFF3300"/>
        <rFont val="Microsoft YaHei UI"/>
        <charset val="134"/>
      </rPr>
      <t>は</t>
    </r>
    <r>
      <rPr>
        <sz val="8"/>
        <color theme="1"/>
        <rFont val="Microsoft YaHei UI"/>
        <charset val="134"/>
      </rPr>
      <t>」行上，</t>
    </r>
    <r>
      <rPr>
        <u/>
        <sz val="8"/>
        <color theme="1"/>
        <rFont val="Microsoft YaHei UI"/>
        <charset val="134"/>
      </rPr>
      <t>则「つ」要发生促音便为「っ」；并且其中</t>
    </r>
    <r>
      <rPr>
        <u/>
        <sz val="8"/>
        <color rgb="FFFF3300"/>
        <rFont val="Microsoft YaHei UI"/>
        <charset val="134"/>
      </rPr>
      <t>「は」行也要半浊为「ぱ」行。</t>
    </r>
  </si>
  <si>
    <r>
      <rPr>
        <sz val="8"/>
        <color theme="1"/>
        <rFont val="Microsoft YaHei UI"/>
        <charset val="134"/>
      </rPr>
      <t xml:space="preserve">失「しつ」＋格「かく」ーー失格「しっかく」
発「はつ」＋掘「くつ」ーー発掘「はっくつ」
喝「かつ」＋采「さい」ーー喝采「かっさい」
达「たつ」＋者「しゃ」ーー达者「たっしゃ」
発「はつ」＋达「たつ」ーー発达「はったつ」
决「けつ」＋定「てい」ーー决定「けってい」
</t>
    </r>
    <r>
      <rPr>
        <sz val="8"/>
        <color rgb="FFFF3300"/>
        <rFont val="Microsoft YaHei UI"/>
        <charset val="134"/>
      </rPr>
      <t>活「かつ」＋発「はつ」ーー活発「かっぱつ」
立「りつ」＋法「ほう」ーー立法「りっぽう」</t>
    </r>
  </si>
  <si>
    <t>如果
第一个汉字的最后一个假名是「く」，
第二个汉字的第一个假名在「か」行上，则「く」要发生促音便为「っ」。</t>
  </si>
  <si>
    <t>国「こく」＋家「か」       ーー国家「こっか」
学「がく」＋区「く」       ーー学区「がっく」
特「とく」＋権「けん」    ーー特権「とっけん」
各「かく」＋国「こく」    ーー各国「かっこく」
借「しゃく」＋金「きん」 ーー借金「しゃっきん」</t>
  </si>
  <si>
    <t>如果
第一个汉字的最后一个假名是「ん」，
第二个汉字的第一个假名在「は」行上，则「は」行的假名会半浊为「ぱ」行。</t>
  </si>
  <si>
    <t>心「しん」＋配「はい」ーー心配「しんぱい」
満「まん」＋腹「ふく」ーー満腹「まんぷく」
文「ぶん」＋法「ほう」ーー文法「ぶんぽう」</t>
  </si>
  <si>
    <t>南「なん」＋北「ほく」ーー南北「なんぼく」</t>
  </si>
  <si>
    <t>复合词</t>
  </si>
  <si>
    <r>
      <rPr>
        <sz val="8"/>
        <color theme="1"/>
        <rFont val="Microsoft YaHei UI"/>
        <charset val="134"/>
      </rPr>
      <t>如果
是复合词（复合名词/ 复合动词/ 复合形容词）一般</t>
    </r>
    <r>
      <rPr>
        <sz val="8"/>
        <color rgb="FFFF3300"/>
        <rFont val="Microsoft YaHei UI"/>
        <charset val="134"/>
      </rPr>
      <t>后项的添加词多为发生浊化</t>
    </r>
    <r>
      <rPr>
        <sz val="8"/>
        <color theme="1"/>
        <rFont val="Microsoft YaHei UI"/>
        <charset val="134"/>
      </rPr>
      <t>。</t>
    </r>
  </si>
  <si>
    <t>小「こ」＋包み「つつみ」       ーー小包「こづつみ」
気「き」＋付く「つく」          ーー気付く「きづく」
人「ひと」＋通り「とおり」   ーー人通り「ひとどおり」
共「とも」＋働き「はたらき」ーー共働き「ともばたらき」</t>
  </si>
  <si>
    <t>拆分重组，第二个汉字</t>
  </si>
  <si>
    <t>当不确定单词中第二个汉字是否有浊音时，可将第二个汉字单独拿出作为第一个汉字
再重新组词来进行确定。</t>
  </si>
  <si>
    <r>
      <rPr>
        <sz val="8"/>
        <color theme="1"/>
        <rFont val="MS Gothic"/>
        <charset val="134"/>
      </rPr>
      <t>①</t>
    </r>
    <r>
      <rPr>
        <sz val="8"/>
        <color theme="1"/>
        <rFont val="Microsoft YaHei UI"/>
        <charset val="134"/>
      </rPr>
      <t xml:space="preserve">「相当」：如果不确定第二个汉字「当」到底是没有浊音的「とう」还是有浊音的「どう」时，可将汉字「当」放在第一个位置再进行组词，如「当然」（とうぜん），由此可确定读音为：「相当」（そうとう）。
</t>
    </r>
    <r>
      <rPr>
        <sz val="8"/>
        <color theme="1"/>
        <rFont val="MS PGothic"/>
        <charset val="134"/>
      </rPr>
      <t>②</t>
    </r>
    <r>
      <rPr>
        <sz val="8"/>
        <color theme="1"/>
        <rFont val="Microsoft YaHei UI"/>
        <charset val="134"/>
      </rPr>
      <t>「応対」：不确定第二个汉字「対」到底是读「たい」还是「だい」的话，将「対」放在第
一个汉字的位置上组词，
如「対立」（たいりつ），由此可确定读音为：「応対」（おうたい）。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</si>
</sst>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54">
    <font>
      <sz val="11"/>
      <color theme="1"/>
      <name val="宋体"/>
      <charset val="134"/>
      <scheme val="minor"/>
    </font>
    <font>
      <sz val="11"/>
      <color theme="1"/>
      <name val="Microsoft YaHei UI"/>
      <charset val="134"/>
    </font>
    <font>
      <sz val="8"/>
      <color theme="1"/>
      <name val="Microsoft YaHei UI"/>
      <charset val="134"/>
    </font>
    <font>
      <sz val="8"/>
      <color theme="1"/>
      <name val="Microsoft YaHei UI"/>
      <charset val="134"/>
    </font>
    <font>
      <sz val="11"/>
      <color theme="1"/>
      <name val="MS Gothic"/>
      <charset val="128"/>
    </font>
    <font>
      <sz val="11"/>
      <color theme="1"/>
      <name val="MS Gothic"/>
      <charset val="134"/>
    </font>
    <font>
      <sz val="11"/>
      <color theme="1"/>
      <name val="宋体"/>
      <charset val="134"/>
      <scheme val="minor"/>
    </font>
    <font>
      <b/>
      <sz val="11"/>
      <color theme="1"/>
      <name val="MS Gothic"/>
      <charset val="128"/>
    </font>
    <font>
      <sz val="12"/>
      <color theme="1"/>
      <name val="MS Gothic"/>
      <charset val="134"/>
    </font>
    <font>
      <sz val="12"/>
      <name val="MS Gothic"/>
      <charset val="134"/>
    </font>
    <font>
      <sz val="11"/>
      <name val="MS Gothic"/>
      <charset val="128"/>
    </font>
    <font>
      <sz val="11"/>
      <name val="MS PGothic"/>
      <charset val="134"/>
    </font>
    <font>
      <u/>
      <sz val="11"/>
      <color theme="1"/>
      <name val="MS Gothic"/>
      <charset val="134"/>
    </font>
    <font>
      <b/>
      <sz val="12"/>
      <color theme="1"/>
      <name val="MS Gothic"/>
      <charset val="128"/>
    </font>
    <font>
      <u/>
      <sz val="11"/>
      <color theme="10"/>
      <name val="宋体"/>
      <charset val="134"/>
      <scheme val="minor"/>
    </font>
    <font>
      <sz val="9"/>
      <color theme="1"/>
      <name val="MS Gothic"/>
      <charset val="128"/>
    </font>
    <font>
      <sz val="12"/>
      <color theme="1"/>
      <name val="MS Gothic"/>
      <charset val="128"/>
    </font>
    <font>
      <b/>
      <sz val="16"/>
      <color theme="1"/>
      <name val="MS Mincho"/>
      <charset val="128"/>
    </font>
    <font>
      <sz val="12"/>
      <color rgb="FF333333"/>
      <name val="MS Gothic"/>
      <charset val="128"/>
    </font>
    <font>
      <sz val="11"/>
      <color theme="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8"/>
      <color rgb="FFFF0000"/>
      <name val="Microsoft YaHei UI"/>
      <charset val="134"/>
    </font>
    <font>
      <sz val="8"/>
      <color rgb="FF0000E0"/>
      <name val="Microsoft YaHei UI"/>
      <charset val="134"/>
    </font>
    <font>
      <sz val="8"/>
      <color rgb="FFFF3300"/>
      <name val="Microsoft YaHei UI"/>
      <charset val="134"/>
    </font>
    <font>
      <u/>
      <sz val="8"/>
      <color theme="1"/>
      <name val="Microsoft YaHei UI"/>
      <charset val="134"/>
    </font>
    <font>
      <u/>
      <sz val="8"/>
      <color rgb="FFFF3300"/>
      <name val="Microsoft YaHei UI"/>
      <charset val="134"/>
    </font>
    <font>
      <sz val="8"/>
      <color theme="1"/>
      <name val="MS Gothic"/>
      <charset val="134"/>
    </font>
    <font>
      <sz val="8"/>
      <color theme="1"/>
      <name val="MS PGothic"/>
      <charset val="134"/>
    </font>
    <font>
      <sz val="11"/>
      <color theme="1"/>
      <name val="宋体"/>
      <charset val="128"/>
      <scheme val="minor"/>
    </font>
    <font>
      <sz val="11"/>
      <color theme="1"/>
      <name val="MS PGothic"/>
      <charset val="134"/>
    </font>
    <font>
      <sz val="11"/>
      <color theme="1"/>
      <name val="宋体"/>
      <charset val="134"/>
    </font>
    <font>
      <sz val="11"/>
      <color theme="1"/>
      <name val="ｍｓ"/>
      <charset val="134"/>
    </font>
    <font>
      <sz val="11"/>
      <color rgb="FFFF0000"/>
      <name val="MS Gothic"/>
      <charset val="134"/>
    </font>
    <font>
      <sz val="11"/>
      <color theme="1"/>
      <name val="MS PGothic"/>
      <charset val="128"/>
    </font>
    <font>
      <u/>
      <sz val="11"/>
      <color theme="10"/>
      <name val="宋体"/>
      <charset val="134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E1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6D1DA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20" fillId="0" borderId="0" applyFont="0" applyFill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7" fillId="22" borderId="19" applyNumberFormat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43" fontId="20" fillId="0" borderId="0" applyFont="0" applyFill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0" fillId="41" borderId="24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7" fillId="0" borderId="22" applyNumberFormat="0" applyFill="0" applyAlignment="0" applyProtection="0">
      <alignment vertical="center"/>
    </xf>
    <xf numFmtId="0" fontId="31" fillId="0" borderId="22" applyNumberFormat="0" applyFill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19" fillId="37" borderId="0" applyNumberFormat="0" applyBorder="0" applyAlignment="0" applyProtection="0">
      <alignment vertical="center"/>
    </xf>
    <xf numFmtId="0" fontId="34" fillId="33" borderId="23" applyNumberFormat="0" applyAlignment="0" applyProtection="0">
      <alignment vertical="center"/>
    </xf>
    <xf numFmtId="0" fontId="33" fillId="33" borderId="19" applyNumberFormat="0" applyAlignment="0" applyProtection="0">
      <alignment vertical="center"/>
    </xf>
    <xf numFmtId="0" fontId="30" fillId="29" borderId="21" applyNumberFormat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9" fillId="0" borderId="20" applyNumberFormat="0" applyFill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38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top" wrapText="1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top"/>
    </xf>
    <xf numFmtId="0" fontId="4" fillId="0" borderId="1" xfId="0" applyFont="1" applyFill="1" applyBorder="1" applyAlignment="1">
      <alignment horizontal="center" vertical="top" wrapText="1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2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4" fillId="3" borderId="0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10" fillId="7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0" xfId="0" applyFont="1" applyFill="1" applyBorder="1">
      <alignment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8" xfId="0" applyFont="1" applyFill="1" applyBorder="1">
      <alignment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9" xfId="0" applyFont="1" applyFill="1" applyBorder="1">
      <alignment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10" xfId="0" applyFont="1" applyFill="1" applyBorder="1">
      <alignment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8" xfId="0" applyFont="1" applyFill="1" applyBorder="1">
      <alignment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0" xfId="0" applyFont="1" applyFill="1" applyBorder="1">
      <alignment vertical="center"/>
    </xf>
    <xf numFmtId="0" fontId="13" fillId="0" borderId="0" xfId="0" applyFont="1">
      <alignment vertical="center"/>
    </xf>
    <xf numFmtId="0" fontId="14" fillId="0" borderId="0" xfId="10">
      <alignment vertical="center"/>
    </xf>
    <xf numFmtId="0" fontId="15" fillId="0" borderId="0" xfId="0" applyFont="1">
      <alignment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16" fillId="0" borderId="0" xfId="0" applyFo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10" borderId="1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Border="1">
      <alignment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10" borderId="13" xfId="0" applyFont="1" applyFill="1" applyBorder="1" applyAlignment="1">
      <alignment horizontal="center" vertical="center"/>
    </xf>
    <xf numFmtId="0" fontId="8" fillId="10" borderId="14" xfId="0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22" fontId="18" fillId="10" borderId="7" xfId="0" applyNumberFormat="1" applyFont="1" applyFill="1" applyBorder="1">
      <alignment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3300"/>
      <color rgb="000000E0"/>
      <color rgb="0000E100"/>
      <color rgb="0026D1DA"/>
      <color rgb="00F94D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6" Type="http://schemas.microsoft.com/office/2006/relationships/vbaProject" Target="vbaProject.bin"/><Relationship Id="rId25" Type="http://schemas.openxmlformats.org/officeDocument/2006/relationships/sharedStrings" Target="sharedStrings.xml"/><Relationship Id="rId24" Type="http://schemas.openxmlformats.org/officeDocument/2006/relationships/styles" Target="styles.xml"/><Relationship Id="rId23" Type="http://schemas.openxmlformats.org/officeDocument/2006/relationships/theme" Target="theme/theme1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4" Type="http://schemas.openxmlformats.org/officeDocument/2006/relationships/image" Target="../media/image10.jpeg"/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281940</xdr:colOff>
      <xdr:row>39</xdr:row>
      <xdr:rowOff>91440</xdr:rowOff>
    </xdr:from>
    <xdr:to>
      <xdr:col>7</xdr:col>
      <xdr:colOff>373380</xdr:colOff>
      <xdr:row>43</xdr:row>
      <xdr:rowOff>60960</xdr:rowOff>
    </xdr:to>
    <xdr:sp>
      <xdr:nvSpPr>
        <xdr:cNvPr id="2" name="椭圆 1"/>
        <xdr:cNvSpPr/>
      </xdr:nvSpPr>
      <xdr:spPr>
        <a:xfrm>
          <a:off x="3939540" y="7284720"/>
          <a:ext cx="701040" cy="701040"/>
        </a:xfrm>
        <a:prstGeom prst="ellipse">
          <a:avLst/>
        </a:prstGeom>
        <a:noFill/>
        <a:ln w="317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solidFill>
              <a:srgbClr val="F94D35"/>
            </a:solidFill>
          </a:endParaRPr>
        </a:p>
      </xdr:txBody>
    </xdr:sp>
    <xdr:clientData/>
  </xdr:twoCellAnchor>
  <xdr:twoCellAnchor>
    <xdr:from>
      <xdr:col>6</xdr:col>
      <xdr:colOff>335280</xdr:colOff>
      <xdr:row>40</xdr:row>
      <xdr:rowOff>99060</xdr:rowOff>
    </xdr:from>
    <xdr:to>
      <xdr:col>7</xdr:col>
      <xdr:colOff>350520</xdr:colOff>
      <xdr:row>42</xdr:row>
      <xdr:rowOff>83820</xdr:rowOff>
    </xdr:to>
    <xdr:sp>
      <xdr:nvSpPr>
        <xdr:cNvPr id="3" name="文本框 2"/>
        <xdr:cNvSpPr txBox="1"/>
      </xdr:nvSpPr>
      <xdr:spPr>
        <a:xfrm>
          <a:off x="3992880" y="7475220"/>
          <a:ext cx="624840" cy="3505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600" b="0">
              <a:solidFill>
                <a:srgbClr val="FF3300"/>
              </a:solidFill>
            </a:rPr>
            <a:t>張朋</a:t>
          </a:r>
          <a:endParaRPr lang="zh-CN" altLang="en-US" sz="1600" b="0">
            <a:solidFill>
              <a:srgbClr val="FF33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426720</xdr:colOff>
      <xdr:row>5</xdr:row>
      <xdr:rowOff>99060</xdr:rowOff>
    </xdr:from>
    <xdr:to>
      <xdr:col>12</xdr:col>
      <xdr:colOff>198120</xdr:colOff>
      <xdr:row>33</xdr:row>
      <xdr:rowOff>91440</xdr:rowOff>
    </xdr:to>
    <xdr:pic>
      <xdr:nvPicPr>
        <xdr:cNvPr id="3" name="图片 2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645920" y="937260"/>
          <a:ext cx="5867400" cy="4686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373380</xdr:colOff>
      <xdr:row>7</xdr:row>
      <xdr:rowOff>106680</xdr:rowOff>
    </xdr:from>
    <xdr:to>
      <xdr:col>9</xdr:col>
      <xdr:colOff>220980</xdr:colOff>
      <xdr:row>9</xdr:row>
      <xdr:rowOff>15240</xdr:rowOff>
    </xdr:to>
    <xdr:sp>
      <xdr:nvSpPr>
        <xdr:cNvPr id="4" name="文本框 3"/>
        <xdr:cNvSpPr txBox="1"/>
      </xdr:nvSpPr>
      <xdr:spPr>
        <a:xfrm>
          <a:off x="4640580" y="128016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ハードディスク</a:t>
          </a:r>
          <a:endParaRPr lang="en-US" altLang="ja-JP" sz="1100" b="1"/>
        </a:p>
        <a:p>
          <a:endParaRPr lang="zh-CN" altLang="en-US" sz="1100" b="1"/>
        </a:p>
      </xdr:txBody>
    </xdr:sp>
    <xdr:clientData/>
  </xdr:twoCellAnchor>
  <xdr:twoCellAnchor>
    <xdr:from>
      <xdr:col>3</xdr:col>
      <xdr:colOff>320040</xdr:colOff>
      <xdr:row>9</xdr:row>
      <xdr:rowOff>60960</xdr:rowOff>
    </xdr:from>
    <xdr:to>
      <xdr:col>5</xdr:col>
      <xdr:colOff>167640</xdr:colOff>
      <xdr:row>10</xdr:row>
      <xdr:rowOff>137160</xdr:rowOff>
    </xdr:to>
    <xdr:sp>
      <xdr:nvSpPr>
        <xdr:cNvPr id="5" name="文本框 4"/>
        <xdr:cNvSpPr txBox="1"/>
      </xdr:nvSpPr>
      <xdr:spPr>
        <a:xfrm>
          <a:off x="2148840" y="15697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/>
            <a:t>LAN</a:t>
          </a:r>
          <a:r>
            <a:rPr lang="ja-JP" altLang="en-US" sz="1100" b="1"/>
            <a:t>カード</a:t>
          </a:r>
          <a:endParaRPr lang="zh-CN" altLang="en-US" sz="1100" b="1"/>
        </a:p>
      </xdr:txBody>
    </xdr:sp>
    <xdr:clientData/>
  </xdr:twoCellAnchor>
  <xdr:twoCellAnchor>
    <xdr:from>
      <xdr:col>3</xdr:col>
      <xdr:colOff>15240</xdr:colOff>
      <xdr:row>16</xdr:row>
      <xdr:rowOff>7620</xdr:rowOff>
    </xdr:from>
    <xdr:to>
      <xdr:col>4</xdr:col>
      <xdr:colOff>472440</xdr:colOff>
      <xdr:row>17</xdr:row>
      <xdr:rowOff>83820</xdr:rowOff>
    </xdr:to>
    <xdr:sp>
      <xdr:nvSpPr>
        <xdr:cNvPr id="6" name="文本框 5"/>
        <xdr:cNvSpPr txBox="1"/>
      </xdr:nvSpPr>
      <xdr:spPr>
        <a:xfrm>
          <a:off x="1844040" y="268986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サウンドカード</a:t>
          </a:r>
          <a:endParaRPr lang="zh-CN" altLang="en-US" sz="1100" b="1"/>
        </a:p>
      </xdr:txBody>
    </xdr:sp>
    <xdr:clientData/>
  </xdr:twoCellAnchor>
  <xdr:twoCellAnchor>
    <xdr:from>
      <xdr:col>8</xdr:col>
      <xdr:colOff>205740</xdr:colOff>
      <xdr:row>30</xdr:row>
      <xdr:rowOff>45720</xdr:rowOff>
    </xdr:from>
    <xdr:to>
      <xdr:col>10</xdr:col>
      <xdr:colOff>53340</xdr:colOff>
      <xdr:row>31</xdr:row>
      <xdr:rowOff>121920</xdr:rowOff>
    </xdr:to>
    <xdr:sp>
      <xdr:nvSpPr>
        <xdr:cNvPr id="7" name="文本框 6"/>
        <xdr:cNvSpPr txBox="1"/>
      </xdr:nvSpPr>
      <xdr:spPr>
        <a:xfrm>
          <a:off x="5082540" y="50749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マザーボード</a:t>
          </a:r>
          <a:endParaRPr lang="zh-CN" altLang="en-US" sz="1100" b="1"/>
        </a:p>
      </xdr:txBody>
    </xdr:sp>
    <xdr:clientData/>
  </xdr:twoCellAnchor>
  <xdr:twoCellAnchor>
    <xdr:from>
      <xdr:col>2</xdr:col>
      <xdr:colOff>464820</xdr:colOff>
      <xdr:row>30</xdr:row>
      <xdr:rowOff>106680</xdr:rowOff>
    </xdr:from>
    <xdr:to>
      <xdr:col>5</xdr:col>
      <xdr:colOff>350520</xdr:colOff>
      <xdr:row>32</xdr:row>
      <xdr:rowOff>30480</xdr:rowOff>
    </xdr:to>
    <xdr:sp>
      <xdr:nvSpPr>
        <xdr:cNvPr id="8" name="文本框 7"/>
        <xdr:cNvSpPr txBox="1"/>
      </xdr:nvSpPr>
      <xdr:spPr>
        <a:xfrm>
          <a:off x="1684020" y="5135880"/>
          <a:ext cx="1714500" cy="2590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中央処理装置</a:t>
          </a:r>
          <a:endParaRPr lang="zh-CN" altLang="en-US" sz="1100" b="1"/>
        </a:p>
      </xdr:txBody>
    </xdr:sp>
    <xdr:clientData/>
  </xdr:twoCellAnchor>
  <xdr:twoCellAnchor>
    <xdr:from>
      <xdr:col>5</xdr:col>
      <xdr:colOff>419100</xdr:colOff>
      <xdr:row>30</xdr:row>
      <xdr:rowOff>15240</xdr:rowOff>
    </xdr:from>
    <xdr:to>
      <xdr:col>6</xdr:col>
      <xdr:colOff>541020</xdr:colOff>
      <xdr:row>31</xdr:row>
      <xdr:rowOff>114300</xdr:rowOff>
    </xdr:to>
    <xdr:sp>
      <xdr:nvSpPr>
        <xdr:cNvPr id="9" name="文本框 8"/>
        <xdr:cNvSpPr txBox="1"/>
      </xdr:nvSpPr>
      <xdr:spPr>
        <a:xfrm>
          <a:off x="3467100" y="5044440"/>
          <a:ext cx="73152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ファン</a:t>
          </a:r>
          <a:endParaRPr lang="zh-CN" altLang="en-US" sz="1100" b="1"/>
        </a:p>
      </xdr:txBody>
    </xdr:sp>
    <xdr:clientData/>
  </xdr:twoCellAnchor>
  <xdr:twoCellAnchor>
    <xdr:from>
      <xdr:col>2</xdr:col>
      <xdr:colOff>594360</xdr:colOff>
      <xdr:row>20</xdr:row>
      <xdr:rowOff>106680</xdr:rowOff>
    </xdr:from>
    <xdr:to>
      <xdr:col>4</xdr:col>
      <xdr:colOff>441960</xdr:colOff>
      <xdr:row>22</xdr:row>
      <xdr:rowOff>15240</xdr:rowOff>
    </xdr:to>
    <xdr:sp>
      <xdr:nvSpPr>
        <xdr:cNvPr id="10" name="文本框 9"/>
        <xdr:cNvSpPr txBox="1"/>
      </xdr:nvSpPr>
      <xdr:spPr>
        <a:xfrm>
          <a:off x="1813560" y="345948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ビデオカード</a:t>
          </a:r>
          <a:endParaRPr lang="zh-CN" altLang="en-US" sz="1100" b="1"/>
        </a:p>
      </xdr:txBody>
    </xdr:sp>
    <xdr:clientData/>
  </xdr:twoCellAnchor>
  <xdr:twoCellAnchor>
    <xdr:from>
      <xdr:col>3</xdr:col>
      <xdr:colOff>114300</xdr:colOff>
      <xdr:row>23</xdr:row>
      <xdr:rowOff>144780</xdr:rowOff>
    </xdr:from>
    <xdr:to>
      <xdr:col>4</xdr:col>
      <xdr:colOff>571500</xdr:colOff>
      <xdr:row>25</xdr:row>
      <xdr:rowOff>53340</xdr:rowOff>
    </xdr:to>
    <xdr:sp>
      <xdr:nvSpPr>
        <xdr:cNvPr id="23" name="文本框 22"/>
        <xdr:cNvSpPr txBox="1"/>
      </xdr:nvSpPr>
      <xdr:spPr>
        <a:xfrm>
          <a:off x="1943100" y="400050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/>
            <a:t>DDR</a:t>
          </a:r>
          <a:r>
            <a:rPr lang="ja-JP" altLang="en-US" sz="1100" b="1"/>
            <a:t>メモリ</a:t>
          </a:r>
          <a:endParaRPr lang="zh-CN" altLang="en-US" sz="1100" b="1"/>
        </a:p>
      </xdr:txBody>
    </xdr:sp>
    <xdr:clientData/>
  </xdr:twoCellAnchor>
  <xdr:twoCellAnchor>
    <xdr:from>
      <xdr:col>10</xdr:col>
      <xdr:colOff>137160</xdr:colOff>
      <xdr:row>18</xdr:row>
      <xdr:rowOff>0</xdr:rowOff>
    </xdr:from>
    <xdr:to>
      <xdr:col>11</xdr:col>
      <xdr:colOff>594360</xdr:colOff>
      <xdr:row>19</xdr:row>
      <xdr:rowOff>76200</xdr:rowOff>
    </xdr:to>
    <xdr:sp>
      <xdr:nvSpPr>
        <xdr:cNvPr id="24" name="文本框 23"/>
        <xdr:cNvSpPr txBox="1"/>
      </xdr:nvSpPr>
      <xdr:spPr>
        <a:xfrm>
          <a:off x="6233160" y="3017520"/>
          <a:ext cx="1066800" cy="2438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データライン</a:t>
          </a:r>
          <a:endParaRPr lang="zh-CN" altLang="en-US" sz="1100" b="1"/>
        </a:p>
      </xdr:txBody>
    </xdr:sp>
    <xdr:clientData/>
  </xdr:twoCellAnchor>
  <xdr:twoCellAnchor>
    <xdr:from>
      <xdr:col>9</xdr:col>
      <xdr:colOff>152400</xdr:colOff>
      <xdr:row>7</xdr:row>
      <xdr:rowOff>91440</xdr:rowOff>
    </xdr:from>
    <xdr:to>
      <xdr:col>11</xdr:col>
      <xdr:colOff>99060</xdr:colOff>
      <xdr:row>9</xdr:row>
      <xdr:rowOff>22860</xdr:rowOff>
    </xdr:to>
    <xdr:sp>
      <xdr:nvSpPr>
        <xdr:cNvPr id="25" name="文本框 24"/>
        <xdr:cNvSpPr txBox="1"/>
      </xdr:nvSpPr>
      <xdr:spPr>
        <a:xfrm>
          <a:off x="5638800" y="1264920"/>
          <a:ext cx="116586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100" b="1"/>
            <a:t>ディスクドライブ</a:t>
          </a:r>
          <a:endParaRPr lang="zh-CN" altLang="en-US" sz="1100" b="1"/>
        </a:p>
      </xdr:txBody>
    </xdr:sp>
    <xdr:clientData/>
  </xdr:twoCellAnchor>
  <xdr:twoCellAnchor>
    <xdr:from>
      <xdr:col>5</xdr:col>
      <xdr:colOff>518160</xdr:colOff>
      <xdr:row>7</xdr:row>
      <xdr:rowOff>137160</xdr:rowOff>
    </xdr:from>
    <xdr:to>
      <xdr:col>7</xdr:col>
      <xdr:colOff>365760</xdr:colOff>
      <xdr:row>10</xdr:row>
      <xdr:rowOff>152400</xdr:rowOff>
    </xdr:to>
    <xdr:sp>
      <xdr:nvSpPr>
        <xdr:cNvPr id="26" name="文本框 25"/>
        <xdr:cNvSpPr txBox="1"/>
      </xdr:nvSpPr>
      <xdr:spPr>
        <a:xfrm>
          <a:off x="3566160" y="1310640"/>
          <a:ext cx="1066800" cy="5181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zh-CN" altLang="en-US" sz="1100" b="1"/>
        </a:p>
      </xdr:txBody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4</xdr:col>
      <xdr:colOff>289560</xdr:colOff>
      <xdr:row>59</xdr:row>
      <xdr:rowOff>83819</xdr:rowOff>
    </xdr:to>
    <xdr:pic>
      <xdr:nvPicPr>
        <xdr:cNvPr id="27" name="图片 26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828800" y="6370320"/>
          <a:ext cx="899160" cy="3596005"/>
        </a:xfrm>
        <a:prstGeom prst="rect">
          <a:avLst/>
        </a:prstGeom>
      </xdr:spPr>
    </xdr:pic>
    <xdr:clientData/>
  </xdr:twoCellAnchor>
  <xdr:twoCellAnchor editAs="oneCell">
    <xdr:from>
      <xdr:col>2</xdr:col>
      <xdr:colOff>556260</xdr:colOff>
      <xdr:row>62</xdr:row>
      <xdr:rowOff>15240</xdr:rowOff>
    </xdr:from>
    <xdr:to>
      <xdr:col>5</xdr:col>
      <xdr:colOff>396240</xdr:colOff>
      <xdr:row>84</xdr:row>
      <xdr:rowOff>114300</xdr:rowOff>
    </xdr:to>
    <xdr:pic>
      <xdr:nvPicPr>
        <xdr:cNvPr id="28" name="图片 27"/>
        <xdr:cNvPicPr>
          <a:picLocks noChangeAspect="1" noChangeArrowheads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545" t="1772" r="59902"/>
        <a:stretch>
          <a:fillRect/>
        </a:stretch>
      </xdr:blipFill>
      <xdr:spPr>
        <a:xfrm>
          <a:off x="1775460" y="10401300"/>
          <a:ext cx="1668780" cy="3802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413560</xdr:colOff>
      <xdr:row>18</xdr:row>
      <xdr:rowOff>161873</xdr:rowOff>
    </xdr:from>
    <xdr:to>
      <xdr:col>17</xdr:col>
      <xdr:colOff>210710</xdr:colOff>
      <xdr:row>34</xdr:row>
      <xdr:rowOff>163663</xdr:rowOff>
    </xdr:to>
    <xdr:pic>
      <xdr:nvPicPr>
        <xdr:cNvPr id="3" name="图片 2" descr="preview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2265045" y="3453130"/>
          <a:ext cx="8437880" cy="2927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97037</xdr:colOff>
      <xdr:row>0</xdr:row>
      <xdr:rowOff>0</xdr:rowOff>
    </xdr:from>
    <xdr:to>
      <xdr:col>17</xdr:col>
      <xdr:colOff>485657</xdr:colOff>
      <xdr:row>18</xdr:row>
      <xdr:rowOff>15240</xdr:rowOff>
    </xdr:to>
    <xdr:pic>
      <xdr:nvPicPr>
        <xdr:cNvPr id="4" name="图片 3" descr="preview"/>
        <xdr:cNvPicPr>
          <a:picLocks noChangeAspect="1" noChangeArrowheads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948180" y="0"/>
          <a:ext cx="9029700" cy="3307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609599</xdr:colOff>
      <xdr:row>1</xdr:row>
      <xdr:rowOff>0</xdr:rowOff>
    </xdr:from>
    <xdr:to>
      <xdr:col>24</xdr:col>
      <xdr:colOff>36204</xdr:colOff>
      <xdr:row>31</xdr:row>
      <xdr:rowOff>167640</xdr:rowOff>
    </xdr:to>
    <xdr:pic>
      <xdr:nvPicPr>
        <xdr:cNvPr id="2" name="图片 1" descr="preview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08965" y="182880"/>
          <a:ext cx="14240510" cy="5654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220980</xdr:colOff>
      <xdr:row>21</xdr:row>
      <xdr:rowOff>121920</xdr:rowOff>
    </xdr:from>
    <xdr:to>
      <xdr:col>4</xdr:col>
      <xdr:colOff>7620</xdr:colOff>
      <xdr:row>24</xdr:row>
      <xdr:rowOff>22860</xdr:rowOff>
    </xdr:to>
    <xdr:sp>
      <xdr:nvSpPr>
        <xdr:cNvPr id="3" name="矩形 2"/>
        <xdr:cNvSpPr/>
      </xdr:nvSpPr>
      <xdr:spPr>
        <a:xfrm>
          <a:off x="2072640" y="3962400"/>
          <a:ext cx="403860" cy="4495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ja-JP" altLang="en-US" sz="1400" b="1">
              <a:solidFill>
                <a:srgbClr val="FF0000"/>
              </a:solidFill>
            </a:rPr>
            <a:t>す</a:t>
          </a:r>
          <a:endParaRPr lang="zh-CN" altLang="en-US" sz="14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2933700</xdr:colOff>
      <xdr:row>14</xdr:row>
      <xdr:rowOff>609600</xdr:rowOff>
    </xdr:from>
    <xdr:to>
      <xdr:col>2</xdr:col>
      <xdr:colOff>3886200</xdr:colOff>
      <xdr:row>14</xdr:row>
      <xdr:rowOff>975360</xdr:rowOff>
    </xdr:to>
    <xdr:sp>
      <xdr:nvSpPr>
        <xdr:cNvPr id="2" name="对话气泡: 圆角矩形 1"/>
        <xdr:cNvSpPr/>
      </xdr:nvSpPr>
      <xdr:spPr>
        <a:xfrm>
          <a:off x="6042660" y="4328160"/>
          <a:ext cx="952500" cy="365760"/>
        </a:xfrm>
        <a:prstGeom prst="wedgeRoundRectCallout">
          <a:avLst>
            <a:gd name="adj1" fmla="val 35167"/>
            <a:gd name="adj2" fmla="val -85416"/>
            <a:gd name="adj3" fmla="val 16667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ja-JP" altLang="en-US" sz="700" b="1">
              <a:solidFill>
                <a:srgbClr val="FF0000"/>
              </a:solidFill>
            </a:rPr>
            <a:t>は</a:t>
          </a:r>
          <a:r>
            <a:rPr lang="zh-CN" altLang="en-US" sz="700" b="1">
              <a:solidFill>
                <a:srgbClr val="FF0000"/>
              </a:solidFill>
            </a:rPr>
            <a:t>行有</a:t>
          </a:r>
          <a:r>
            <a:rPr lang="en-US" altLang="zh-CN" sz="700" b="1">
              <a:solidFill>
                <a:srgbClr val="FF0000"/>
              </a:solidFill>
            </a:rPr>
            <a:t>2</a:t>
          </a:r>
          <a:r>
            <a:rPr lang="zh-CN" altLang="en-US" sz="700" b="1">
              <a:solidFill>
                <a:srgbClr val="FF0000"/>
              </a:solidFill>
            </a:rPr>
            <a:t>个变化</a:t>
          </a:r>
          <a:endParaRPr lang="zh-CN" altLang="en-US" sz="7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586740</xdr:colOff>
      <xdr:row>1</xdr:row>
      <xdr:rowOff>167640</xdr:rowOff>
    </xdr:from>
    <xdr:to>
      <xdr:col>13</xdr:col>
      <xdr:colOff>129540</xdr:colOff>
      <xdr:row>18</xdr:row>
      <xdr:rowOff>152400</xdr:rowOff>
    </xdr:to>
    <xdr:pic>
      <xdr:nvPicPr>
        <xdr:cNvPr id="2" name="图片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203960" y="350520"/>
          <a:ext cx="6949440" cy="3093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76200</xdr:colOff>
      <xdr:row>7</xdr:row>
      <xdr:rowOff>0</xdr:rowOff>
    </xdr:from>
    <xdr:to>
      <xdr:col>1</xdr:col>
      <xdr:colOff>586740</xdr:colOff>
      <xdr:row>9</xdr:row>
      <xdr:rowOff>30480</xdr:rowOff>
    </xdr:to>
    <xdr:sp>
      <xdr:nvSpPr>
        <xdr:cNvPr id="3" name="对话气泡: 圆角矩形 2"/>
        <xdr:cNvSpPr/>
      </xdr:nvSpPr>
      <xdr:spPr>
        <a:xfrm>
          <a:off x="76200" y="1280160"/>
          <a:ext cx="1127760" cy="396240"/>
        </a:xfrm>
        <a:prstGeom prst="wedgeRoundRectCallout">
          <a:avLst>
            <a:gd name="adj1" fmla="val 29668"/>
            <a:gd name="adj2" fmla="val 44124"/>
            <a:gd name="adj3" fmla="val 16667"/>
          </a:avLst>
        </a:prstGeom>
        <a:solidFill>
          <a:srgbClr val="FFFF00"/>
        </a:solidFill>
        <a:ln w="12700"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solidFill>
                <a:srgbClr val="FF0000"/>
              </a:solidFill>
              <a:latin typeface="Meiryo UI" panose="020B0604030504040204" pitchFamily="34" charset="-128"/>
              <a:ea typeface="Meiryo UI" panose="020B0604030504040204" pitchFamily="34" charset="-128"/>
            </a:rPr>
            <a:t>名词</a:t>
          </a:r>
          <a:endParaRPr lang="zh-CN" altLang="en-US" sz="900" b="1">
            <a:solidFill>
              <a:srgbClr val="FF0000"/>
            </a:solidFill>
            <a:latin typeface="Meiryo UI" panose="020B0604030504040204" pitchFamily="34" charset="-128"/>
            <a:ea typeface="Meiryo UI" panose="020B0604030504040204" pitchFamily="34" charset="-128"/>
          </a:endParaRPr>
        </a:p>
      </xdr:txBody>
    </xdr:sp>
    <xdr:clientData/>
  </xdr:twoCellAnchor>
  <xdr:twoCellAnchor>
    <xdr:from>
      <xdr:col>2</xdr:col>
      <xdr:colOff>252805</xdr:colOff>
      <xdr:row>9</xdr:row>
      <xdr:rowOff>92784</xdr:rowOff>
    </xdr:from>
    <xdr:to>
      <xdr:col>13</xdr:col>
      <xdr:colOff>54685</xdr:colOff>
      <xdr:row>12</xdr:row>
      <xdr:rowOff>108025</xdr:rowOff>
    </xdr:to>
    <xdr:sp>
      <xdr:nvSpPr>
        <xdr:cNvPr id="4" name="矩形: 圆角 3"/>
        <xdr:cNvSpPr/>
      </xdr:nvSpPr>
      <xdr:spPr>
        <a:xfrm>
          <a:off x="1487170" y="1738630"/>
          <a:ext cx="6591300" cy="563880"/>
        </a:xfrm>
        <a:prstGeom prst="round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0</xdr:col>
      <xdr:colOff>53340</xdr:colOff>
      <xdr:row>3</xdr:row>
      <xdr:rowOff>144780</xdr:rowOff>
    </xdr:from>
    <xdr:to>
      <xdr:col>1</xdr:col>
      <xdr:colOff>563880</xdr:colOff>
      <xdr:row>5</xdr:row>
      <xdr:rowOff>175260</xdr:rowOff>
    </xdr:to>
    <xdr:sp>
      <xdr:nvSpPr>
        <xdr:cNvPr id="5" name="对话气泡: 圆角矩形 4"/>
        <xdr:cNvSpPr/>
      </xdr:nvSpPr>
      <xdr:spPr>
        <a:xfrm>
          <a:off x="53340" y="693420"/>
          <a:ext cx="1127760" cy="396240"/>
        </a:xfrm>
        <a:prstGeom prst="wedgeRoundRectCallout">
          <a:avLst>
            <a:gd name="adj1" fmla="val 29668"/>
            <a:gd name="adj2" fmla="val 44124"/>
            <a:gd name="adj3" fmla="val 16667"/>
          </a:avLst>
        </a:prstGeom>
        <a:solidFill>
          <a:srgbClr val="FFFF00"/>
        </a:solidFill>
        <a:ln w="12700"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900" b="1">
              <a:solidFill>
                <a:srgbClr val="FF0000"/>
              </a:solidFill>
              <a:latin typeface="Meiryo UI" panose="020B0604030504040204" pitchFamily="34" charset="-128"/>
              <a:ea typeface="Meiryo UI" panose="020B0604030504040204" pitchFamily="34" charset="-128"/>
            </a:rPr>
            <a:t>小句</a:t>
          </a:r>
          <a:endParaRPr lang="zh-CN" altLang="en-US" sz="900" b="1">
            <a:solidFill>
              <a:srgbClr val="FF0000"/>
            </a:solidFill>
            <a:latin typeface="Meiryo UI" panose="020B0604030504040204" pitchFamily="34" charset="-128"/>
            <a:ea typeface="Meiryo UI" panose="020B0604030504040204" pitchFamily="34" charset="-128"/>
          </a:endParaRPr>
        </a:p>
      </xdr:txBody>
    </xdr:sp>
    <xdr:clientData/>
  </xdr:twoCellAnchor>
  <xdr:twoCellAnchor editAs="oneCell">
    <xdr:from>
      <xdr:col>14</xdr:col>
      <xdr:colOff>71351</xdr:colOff>
      <xdr:row>1</xdr:row>
      <xdr:rowOff>4851</xdr:rowOff>
    </xdr:from>
    <xdr:to>
      <xdr:col>23</xdr:col>
      <xdr:colOff>7040</xdr:colOff>
      <xdr:row>10</xdr:row>
      <xdr:rowOff>41565</xdr:rowOff>
    </xdr:to>
    <xdr:pic>
      <xdr:nvPicPr>
        <xdr:cNvPr id="7" name="图片 6" descr="preview"/>
        <xdr:cNvPicPr>
          <a:picLocks noChangeAspect="1" noChangeArrowheads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8712200" y="187325"/>
          <a:ext cx="5490845" cy="1682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72043</xdr:colOff>
      <xdr:row>11</xdr:row>
      <xdr:rowOff>70659</xdr:rowOff>
    </xdr:from>
    <xdr:to>
      <xdr:col>23</xdr:col>
      <xdr:colOff>156018</xdr:colOff>
      <xdr:row>21</xdr:row>
      <xdr:rowOff>138546</xdr:rowOff>
    </xdr:to>
    <xdr:pic>
      <xdr:nvPicPr>
        <xdr:cNvPr id="9" name="图片 8"/>
        <xdr:cNvPicPr>
          <a:picLocks noChangeAspect="1" noChangeArrowheads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8712835" y="2082165"/>
          <a:ext cx="5638800" cy="1896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152400</xdr:colOff>
      <xdr:row>21</xdr:row>
      <xdr:rowOff>152399</xdr:rowOff>
    </xdr:from>
    <xdr:to>
      <xdr:col>23</xdr:col>
      <xdr:colOff>55418</xdr:colOff>
      <xdr:row>31</xdr:row>
      <xdr:rowOff>50444</xdr:rowOff>
    </xdr:to>
    <xdr:pic>
      <xdr:nvPicPr>
        <xdr:cNvPr id="10" name="图片 9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8793480" y="3992245"/>
          <a:ext cx="5457825" cy="172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35858</xdr:colOff>
      <xdr:row>14</xdr:row>
      <xdr:rowOff>89646</xdr:rowOff>
    </xdr:from>
    <xdr:to>
      <xdr:col>10</xdr:col>
      <xdr:colOff>26893</xdr:colOff>
      <xdr:row>15</xdr:row>
      <xdr:rowOff>107576</xdr:rowOff>
    </xdr:to>
    <xdr:sp>
      <xdr:nvSpPr>
        <xdr:cNvPr id="11" name="矩形: 圆角 10"/>
        <xdr:cNvSpPr/>
      </xdr:nvSpPr>
      <xdr:spPr>
        <a:xfrm>
          <a:off x="5590540" y="2649855"/>
          <a:ext cx="608330" cy="200660"/>
        </a:xfrm>
        <a:prstGeom prst="round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44823</xdr:colOff>
      <xdr:row>10</xdr:row>
      <xdr:rowOff>179293</xdr:rowOff>
    </xdr:from>
    <xdr:to>
      <xdr:col>10</xdr:col>
      <xdr:colOff>35858</xdr:colOff>
      <xdr:row>12</xdr:row>
      <xdr:rowOff>17929</xdr:rowOff>
    </xdr:to>
    <xdr:sp>
      <xdr:nvSpPr>
        <xdr:cNvPr id="12" name="矩形: 圆角 11"/>
        <xdr:cNvSpPr/>
      </xdr:nvSpPr>
      <xdr:spPr>
        <a:xfrm>
          <a:off x="5599430" y="2007870"/>
          <a:ext cx="608330" cy="204470"/>
        </a:xfrm>
        <a:prstGeom prst="round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44824</xdr:colOff>
      <xdr:row>4</xdr:row>
      <xdr:rowOff>170328</xdr:rowOff>
    </xdr:from>
    <xdr:to>
      <xdr:col>10</xdr:col>
      <xdr:colOff>35859</xdr:colOff>
      <xdr:row>6</xdr:row>
      <xdr:rowOff>8963</xdr:rowOff>
    </xdr:to>
    <xdr:sp>
      <xdr:nvSpPr>
        <xdr:cNvPr id="13" name="矩形: 圆角 12"/>
        <xdr:cNvSpPr/>
      </xdr:nvSpPr>
      <xdr:spPr>
        <a:xfrm>
          <a:off x="5599430" y="901700"/>
          <a:ext cx="608330" cy="204470"/>
        </a:xfrm>
        <a:prstGeom prst="round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35858</xdr:colOff>
      <xdr:row>11</xdr:row>
      <xdr:rowOff>98611</xdr:rowOff>
    </xdr:from>
    <xdr:to>
      <xdr:col>14</xdr:col>
      <xdr:colOff>72043</xdr:colOff>
      <xdr:row>16</xdr:row>
      <xdr:rowOff>104602</xdr:rowOff>
    </xdr:to>
    <xdr:cxnSp>
      <xdr:nvCxnSpPr>
        <xdr:cNvPr id="15" name="直接箭头连接符 14"/>
        <xdr:cNvCxnSpPr>
          <a:stCxn id="12" idx="3"/>
          <a:endCxn id="9" idx="1"/>
        </xdr:cNvCxnSpPr>
      </xdr:nvCxnSpPr>
      <xdr:spPr>
        <a:xfrm>
          <a:off x="6207760" y="2110105"/>
          <a:ext cx="2505075" cy="920115"/>
        </a:xfrm>
        <a:prstGeom prst="straightConnector1">
          <a:avLst/>
        </a:prstGeom>
        <a:ln>
          <a:solidFill>
            <a:srgbClr val="FF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26893</xdr:colOff>
      <xdr:row>15</xdr:row>
      <xdr:rowOff>8964</xdr:rowOff>
    </xdr:from>
    <xdr:to>
      <xdr:col>14</xdr:col>
      <xdr:colOff>152400</xdr:colOff>
      <xdr:row>26</xdr:row>
      <xdr:rowOff>101422</xdr:rowOff>
    </xdr:to>
    <xdr:cxnSp>
      <xdr:nvCxnSpPr>
        <xdr:cNvPr id="22" name="直接箭头连接符 21"/>
        <xdr:cNvCxnSpPr>
          <a:stCxn id="11" idx="3"/>
          <a:endCxn id="10" idx="1"/>
        </xdr:cNvCxnSpPr>
      </xdr:nvCxnSpPr>
      <xdr:spPr>
        <a:xfrm>
          <a:off x="6198870" y="2752090"/>
          <a:ext cx="2594610" cy="2103755"/>
        </a:xfrm>
        <a:prstGeom prst="straightConnector1">
          <a:avLst/>
        </a:prstGeom>
        <a:ln>
          <a:solidFill>
            <a:srgbClr val="FF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35859</xdr:colOff>
      <xdr:row>5</xdr:row>
      <xdr:rowOff>89645</xdr:rowOff>
    </xdr:from>
    <xdr:to>
      <xdr:col>14</xdr:col>
      <xdr:colOff>71351</xdr:colOff>
      <xdr:row>5</xdr:row>
      <xdr:rowOff>112855</xdr:rowOff>
    </xdr:to>
    <xdr:cxnSp>
      <xdr:nvCxnSpPr>
        <xdr:cNvPr id="25" name="直接箭头连接符 24"/>
        <xdr:cNvCxnSpPr>
          <a:stCxn id="13" idx="3"/>
          <a:endCxn id="7" idx="1"/>
        </xdr:cNvCxnSpPr>
      </xdr:nvCxnSpPr>
      <xdr:spPr>
        <a:xfrm>
          <a:off x="6207760" y="1003935"/>
          <a:ext cx="2504440" cy="22860"/>
        </a:xfrm>
        <a:prstGeom prst="straightConnector1">
          <a:avLst/>
        </a:prstGeom>
        <a:ln>
          <a:solidFill>
            <a:srgbClr val="FF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107576</xdr:colOff>
      <xdr:row>3</xdr:row>
      <xdr:rowOff>0</xdr:rowOff>
    </xdr:from>
    <xdr:to>
      <xdr:col>22</xdr:col>
      <xdr:colOff>519953</xdr:colOff>
      <xdr:row>9</xdr:row>
      <xdr:rowOff>89647</xdr:rowOff>
    </xdr:to>
    <xdr:sp>
      <xdr:nvSpPr>
        <xdr:cNvPr id="30" name="矩形: 剪去单角 29"/>
        <xdr:cNvSpPr/>
      </xdr:nvSpPr>
      <xdr:spPr>
        <a:xfrm>
          <a:off x="11834495" y="548640"/>
          <a:ext cx="2263775" cy="1186815"/>
        </a:xfrm>
        <a:prstGeom prst="snip1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376518</xdr:colOff>
      <xdr:row>13</xdr:row>
      <xdr:rowOff>170328</xdr:rowOff>
    </xdr:from>
    <xdr:to>
      <xdr:col>22</xdr:col>
      <xdr:colOff>546847</xdr:colOff>
      <xdr:row>21</xdr:row>
      <xdr:rowOff>17929</xdr:rowOff>
    </xdr:to>
    <xdr:sp>
      <xdr:nvSpPr>
        <xdr:cNvPr id="31" name="矩形: 剪去单角 30"/>
        <xdr:cNvSpPr/>
      </xdr:nvSpPr>
      <xdr:spPr>
        <a:xfrm>
          <a:off x="11485880" y="2547620"/>
          <a:ext cx="2639695" cy="1310640"/>
        </a:xfrm>
        <a:prstGeom prst="snip1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358588</xdr:colOff>
      <xdr:row>23</xdr:row>
      <xdr:rowOff>170328</xdr:rowOff>
    </xdr:from>
    <xdr:to>
      <xdr:col>22</xdr:col>
      <xdr:colOff>528917</xdr:colOff>
      <xdr:row>31</xdr:row>
      <xdr:rowOff>17928</xdr:rowOff>
    </xdr:to>
    <xdr:sp>
      <xdr:nvSpPr>
        <xdr:cNvPr id="32" name="矩形: 剪去单角 31"/>
        <xdr:cNvSpPr/>
      </xdr:nvSpPr>
      <xdr:spPr>
        <a:xfrm>
          <a:off x="11468100" y="4376420"/>
          <a:ext cx="2639060" cy="1310640"/>
        </a:xfrm>
        <a:prstGeom prst="snip1Rect">
          <a:avLst/>
        </a:prstGeom>
        <a:noFill/>
        <a:ln>
          <a:solidFill>
            <a:srgbClr val="FF3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5"/>
  <sheetViews>
    <sheetView showGridLines="0" view="pageBreakPreview" zoomScale="115" zoomScaleNormal="100" zoomScaleSheetLayoutView="115" workbookViewId="0">
      <selection activeCell="L12" sqref="L12"/>
    </sheetView>
  </sheetViews>
  <sheetFormatPr defaultColWidth="9" defaultRowHeight="14.4"/>
  <cols>
    <col min="1" max="8" width="8.88888888888889" style="108"/>
    <col min="9" max="9" width="17.7777777777778" style="108" customWidth="1"/>
    <col min="10" max="16384" width="8.88888888888889" style="108"/>
  </cols>
  <sheetData>
    <row r="1" spans="1:10">
      <c r="A1" s="109" t="s">
        <v>0</v>
      </c>
      <c r="B1" s="109"/>
      <c r="C1" s="110"/>
      <c r="D1" s="110"/>
      <c r="E1" s="110"/>
      <c r="F1" s="110"/>
      <c r="G1" s="110"/>
      <c r="H1" s="111" t="s">
        <v>1</v>
      </c>
      <c r="I1" s="124">
        <v>44094</v>
      </c>
      <c r="J1" s="110"/>
    </row>
    <row r="2" spans="1:10">
      <c r="A2" s="112"/>
      <c r="B2" s="112"/>
      <c r="C2" s="110"/>
      <c r="D2" s="110"/>
      <c r="E2" s="110"/>
      <c r="F2" s="110"/>
      <c r="G2" s="110"/>
      <c r="H2" s="110"/>
      <c r="I2" s="110"/>
      <c r="J2" s="110"/>
    </row>
    <row r="3" spans="1:10">
      <c r="A3" s="110"/>
      <c r="B3" s="110"/>
      <c r="C3" s="110"/>
      <c r="D3" s="110"/>
      <c r="E3" s="110"/>
      <c r="F3" s="110"/>
      <c r="G3" s="110"/>
      <c r="H3" s="110"/>
      <c r="I3" s="110"/>
      <c r="J3" s="110"/>
    </row>
    <row r="4" spans="1:10">
      <c r="A4" s="110"/>
      <c r="B4" s="110"/>
      <c r="C4" s="110"/>
      <c r="D4" s="110"/>
      <c r="E4" s="110"/>
      <c r="F4" s="110"/>
      <c r="G4" s="110"/>
      <c r="H4" s="110"/>
      <c r="I4" s="110"/>
      <c r="J4" s="110"/>
    </row>
    <row r="5" spans="1:10">
      <c r="A5" s="110"/>
      <c r="B5" s="110"/>
      <c r="C5" s="110"/>
      <c r="D5" s="110"/>
      <c r="E5" s="110"/>
      <c r="F5" s="110"/>
      <c r="G5" s="110"/>
      <c r="H5" s="110"/>
      <c r="I5" s="110"/>
      <c r="J5" s="110"/>
    </row>
    <row r="6" spans="1:10">
      <c r="A6" s="110"/>
      <c r="B6" s="110"/>
      <c r="C6" s="110"/>
      <c r="D6" s="110"/>
      <c r="E6" s="110"/>
      <c r="F6" s="110"/>
      <c r="G6" s="110"/>
      <c r="H6" s="110"/>
      <c r="I6" s="110"/>
      <c r="J6" s="110"/>
    </row>
    <row r="7" spans="1:10">
      <c r="A7" s="110"/>
      <c r="B7" s="110"/>
      <c r="C7" s="110"/>
      <c r="D7" s="110"/>
      <c r="E7" s="110"/>
      <c r="F7" s="110"/>
      <c r="G7" s="110"/>
      <c r="H7" s="110"/>
      <c r="I7" s="110"/>
      <c r="J7" s="110"/>
    </row>
    <row r="8" ht="19.2" spans="1:10">
      <c r="A8" s="110"/>
      <c r="B8" s="110"/>
      <c r="C8" s="110"/>
      <c r="D8" s="113" t="str">
        <f ca="1">MID(CELL("filename"),SEARCH("[",CELL("filename"))+1,SEARCH("]",CELL("filename"))-SEARCH("[",CELL("filename"))-1)</f>
        <v>Ver.001.xlsm</v>
      </c>
      <c r="E8" s="110"/>
      <c r="F8" s="110"/>
      <c r="G8" s="110"/>
      <c r="H8" s="110"/>
      <c r="I8" s="110"/>
      <c r="J8" s="110"/>
    </row>
    <row r="9" spans="1:10">
      <c r="A9" s="110"/>
      <c r="B9" s="110"/>
      <c r="C9" s="110"/>
      <c r="D9" s="110"/>
      <c r="E9" s="110"/>
      <c r="F9" s="110"/>
      <c r="G9" s="110"/>
      <c r="H9" s="110"/>
      <c r="I9" s="110"/>
      <c r="J9" s="110"/>
    </row>
    <row r="10" spans="1:10">
      <c r="A10" s="110"/>
      <c r="B10" s="110"/>
      <c r="C10" s="110"/>
      <c r="D10" s="110"/>
      <c r="E10" s="110"/>
      <c r="F10" s="110"/>
      <c r="G10" s="110"/>
      <c r="H10" s="110"/>
      <c r="I10" s="110"/>
      <c r="J10" s="110"/>
    </row>
    <row r="11" spans="1:10">
      <c r="A11" s="110"/>
      <c r="B11" s="110"/>
      <c r="C11" s="110"/>
      <c r="D11" s="110"/>
      <c r="E11" s="110"/>
      <c r="F11" s="110"/>
      <c r="G11" s="110"/>
      <c r="H11" s="110"/>
      <c r="I11" s="110"/>
      <c r="J11" s="110"/>
    </row>
    <row r="12" spans="1:10">
      <c r="A12" s="110"/>
      <c r="B12" s="110"/>
      <c r="C12" s="110"/>
      <c r="D12" s="110"/>
      <c r="E12" s="110"/>
      <c r="F12" s="110"/>
      <c r="G12" s="110"/>
      <c r="H12" s="110"/>
      <c r="I12" s="110"/>
      <c r="J12" s="110"/>
    </row>
    <row r="13" spans="1:10">
      <c r="A13" s="110"/>
      <c r="B13" s="110"/>
      <c r="C13" s="110"/>
      <c r="D13" s="110"/>
      <c r="E13" s="110"/>
      <c r="F13" s="110"/>
      <c r="G13" s="110"/>
      <c r="H13" s="110"/>
      <c r="I13" s="110"/>
      <c r="J13" s="110"/>
    </row>
    <row r="14" spans="1:10">
      <c r="A14" s="110"/>
      <c r="B14" s="110"/>
      <c r="C14" s="110"/>
      <c r="D14" s="110"/>
      <c r="E14" s="110"/>
      <c r="F14" s="110"/>
      <c r="G14" s="110"/>
      <c r="H14" s="110"/>
      <c r="I14" s="110"/>
      <c r="J14" s="110"/>
    </row>
    <row r="15" spans="1:10">
      <c r="A15" s="110"/>
      <c r="B15" s="110"/>
      <c r="C15" s="110"/>
      <c r="D15" s="110"/>
      <c r="E15" s="110"/>
      <c r="F15" s="110"/>
      <c r="G15" s="110"/>
      <c r="H15" s="110"/>
      <c r="I15" s="110"/>
      <c r="J15" s="110"/>
    </row>
    <row r="16" spans="1:10">
      <c r="A16" s="110"/>
      <c r="B16" s="110"/>
      <c r="C16" s="110"/>
      <c r="D16" s="110"/>
      <c r="E16" s="110"/>
      <c r="F16" s="110"/>
      <c r="G16" s="110"/>
      <c r="H16" s="110"/>
      <c r="I16" s="110"/>
      <c r="J16" s="110"/>
    </row>
    <row r="17" spans="1:10">
      <c r="A17" s="110"/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0">
      <c r="A18" s="110"/>
      <c r="B18" s="110"/>
      <c r="C18" s="110"/>
      <c r="D18" s="110"/>
      <c r="E18" s="110"/>
      <c r="F18" s="110"/>
      <c r="G18" s="110"/>
      <c r="H18" s="110"/>
      <c r="I18" s="110"/>
      <c r="J18" s="110"/>
    </row>
    <row r="19" spans="1:10">
      <c r="A19" s="110"/>
      <c r="B19" s="110"/>
      <c r="C19" s="110"/>
      <c r="D19" s="110"/>
      <c r="E19" s="110"/>
      <c r="F19" s="110"/>
      <c r="G19" s="110"/>
      <c r="H19" s="110"/>
      <c r="I19" s="110"/>
      <c r="J19" s="110"/>
    </row>
    <row r="20" spans="1:10">
      <c r="A20" s="110"/>
      <c r="B20" s="110"/>
      <c r="C20" s="110"/>
      <c r="D20" s="110"/>
      <c r="E20" s="110"/>
      <c r="F20" s="110"/>
      <c r="G20" s="110"/>
      <c r="H20" s="110"/>
      <c r="I20" s="110"/>
      <c r="J20" s="110"/>
    </row>
    <row r="21" spans="1:10">
      <c r="A21" s="110"/>
      <c r="B21" s="110"/>
      <c r="C21" s="110"/>
      <c r="D21" s="110"/>
      <c r="E21" s="110"/>
      <c r="F21" s="110"/>
      <c r="G21" s="110"/>
      <c r="H21" s="110"/>
      <c r="I21" s="110"/>
      <c r="J21" s="110"/>
    </row>
    <row r="22" spans="1:10">
      <c r="A22" s="110"/>
      <c r="B22" s="110"/>
      <c r="C22" s="110"/>
      <c r="D22" s="110"/>
      <c r="E22" s="110"/>
      <c r="F22" s="110"/>
      <c r="G22" s="110"/>
      <c r="H22" s="110"/>
      <c r="I22" s="110"/>
      <c r="J22" s="110"/>
    </row>
    <row r="23" spans="1:10">
      <c r="A23" s="110"/>
      <c r="B23" s="110"/>
      <c r="C23" s="110"/>
      <c r="D23" s="110"/>
      <c r="E23" s="110"/>
      <c r="F23" s="110"/>
      <c r="G23" s="110"/>
      <c r="H23" s="110"/>
      <c r="I23" s="110"/>
      <c r="J23" s="110"/>
    </row>
    <row r="24" spans="1:10">
      <c r="A24" s="110"/>
      <c r="B24" s="110"/>
      <c r="C24" s="110"/>
      <c r="D24" s="110"/>
      <c r="E24" s="110"/>
      <c r="F24" s="110"/>
      <c r="G24" s="110"/>
      <c r="H24" s="110"/>
      <c r="I24" s="110"/>
      <c r="J24" s="110"/>
    </row>
    <row r="25" spans="1:10">
      <c r="A25" s="110"/>
      <c r="B25" s="110"/>
      <c r="C25" s="110"/>
      <c r="D25" s="110"/>
      <c r="E25" s="110"/>
      <c r="F25" s="110"/>
      <c r="G25" s="110"/>
      <c r="H25" s="110"/>
      <c r="I25" s="110"/>
      <c r="J25" s="110"/>
    </row>
    <row r="26" spans="1:10">
      <c r="A26" s="110"/>
      <c r="B26" s="110"/>
      <c r="C26" s="110"/>
      <c r="D26" s="110"/>
      <c r="E26" s="110"/>
      <c r="F26" s="110"/>
      <c r="J26" s="110"/>
    </row>
    <row r="27" spans="1:10">
      <c r="A27" s="110"/>
      <c r="B27" s="110"/>
      <c r="C27" s="110"/>
      <c r="D27" s="110"/>
      <c r="E27" s="110"/>
      <c r="F27" s="110"/>
      <c r="J27" s="110"/>
    </row>
    <row r="28" spans="1:10">
      <c r="A28" s="110"/>
      <c r="B28" s="110"/>
      <c r="C28" s="110"/>
      <c r="D28" s="110"/>
      <c r="E28" s="110"/>
      <c r="F28" s="110"/>
      <c r="J28" s="110"/>
    </row>
    <row r="29" spans="1:10">
      <c r="A29" s="110"/>
      <c r="B29" s="110"/>
      <c r="C29" s="110"/>
      <c r="D29" s="110"/>
      <c r="E29" s="110"/>
      <c r="F29" s="110"/>
      <c r="J29" s="110"/>
    </row>
    <row r="30" spans="1:10">
      <c r="A30" s="110"/>
      <c r="B30" s="110"/>
      <c r="C30" s="110"/>
      <c r="D30" s="110"/>
      <c r="E30" s="110"/>
      <c r="F30" s="110"/>
      <c r="J30" s="110"/>
    </row>
    <row r="31" spans="1:10">
      <c r="A31" s="110"/>
      <c r="B31" s="110"/>
      <c r="C31" s="110"/>
      <c r="D31" s="110"/>
      <c r="E31" s="110"/>
      <c r="F31" s="110"/>
      <c r="J31" s="110"/>
    </row>
    <row r="32" spans="1:10">
      <c r="A32" s="110"/>
      <c r="B32" s="110"/>
      <c r="C32" s="110"/>
      <c r="D32" s="110"/>
      <c r="E32" s="110"/>
      <c r="F32" s="110"/>
      <c r="J32" s="110"/>
    </row>
    <row r="33" spans="1:10">
      <c r="A33" s="110"/>
      <c r="B33" s="110"/>
      <c r="C33" s="110"/>
      <c r="D33" s="110"/>
      <c r="E33" s="110"/>
      <c r="F33" s="110"/>
      <c r="G33" s="110"/>
      <c r="H33" s="110"/>
      <c r="I33" s="110"/>
      <c r="J33" s="110"/>
    </row>
    <row r="34" spans="1:10">
      <c r="A34" s="110"/>
      <c r="B34" s="110"/>
      <c r="C34" s="110"/>
      <c r="D34" s="110"/>
      <c r="E34" s="110"/>
      <c r="F34" s="110"/>
      <c r="G34" s="110"/>
      <c r="H34" s="110"/>
      <c r="I34" s="110"/>
      <c r="J34" s="110"/>
    </row>
    <row r="35" spans="1:10">
      <c r="A35" s="110"/>
      <c r="B35" s="110"/>
      <c r="C35" s="110"/>
      <c r="D35" s="110"/>
      <c r="E35" s="110"/>
      <c r="F35" s="110"/>
      <c r="G35" s="110"/>
      <c r="H35" s="110"/>
      <c r="I35" s="110"/>
      <c r="J35" s="110"/>
    </row>
    <row r="36" spans="1:10">
      <c r="A36" s="110"/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>
      <c r="A37" s="110"/>
      <c r="B37" s="110"/>
      <c r="C37" s="110"/>
      <c r="D37" s="110"/>
      <c r="E37" s="110"/>
      <c r="F37" s="110"/>
      <c r="G37" s="110"/>
      <c r="H37" s="110"/>
      <c r="I37" s="110"/>
      <c r="J37" s="110"/>
    </row>
    <row r="38" spans="1:10">
      <c r="A38" s="110"/>
      <c r="B38" s="110"/>
      <c r="C38" s="110"/>
      <c r="D38" s="110"/>
      <c r="E38" s="110"/>
      <c r="F38" s="110"/>
      <c r="G38" s="114" t="s">
        <v>2</v>
      </c>
      <c r="H38" s="115"/>
      <c r="I38" s="125" t="s">
        <v>3</v>
      </c>
      <c r="J38" s="110"/>
    </row>
    <row r="39" spans="1:10">
      <c r="A39" s="110"/>
      <c r="B39" s="110"/>
      <c r="C39" s="110"/>
      <c r="D39" s="110"/>
      <c r="E39" s="110"/>
      <c r="F39" s="110"/>
      <c r="G39" s="116"/>
      <c r="H39" s="117"/>
      <c r="I39" s="126"/>
      <c r="J39" s="110"/>
    </row>
    <row r="40" spans="1:10">
      <c r="A40" s="110"/>
      <c r="B40" s="110"/>
      <c r="C40" s="110"/>
      <c r="D40" s="110"/>
      <c r="E40" s="110"/>
      <c r="F40" s="110"/>
      <c r="G40" s="118"/>
      <c r="H40" s="119"/>
      <c r="I40" s="127" t="s">
        <v>4</v>
      </c>
      <c r="J40" s="110"/>
    </row>
    <row r="41" spans="1:10">
      <c r="A41" s="110"/>
      <c r="B41" s="110"/>
      <c r="C41" s="110"/>
      <c r="D41" s="110"/>
      <c r="E41" s="110"/>
      <c r="F41" s="110"/>
      <c r="G41" s="120"/>
      <c r="H41" s="121"/>
      <c r="I41" s="128"/>
      <c r="J41" s="110"/>
    </row>
    <row r="42" spans="1:10">
      <c r="A42" s="110"/>
      <c r="B42" s="110"/>
      <c r="C42" s="110"/>
      <c r="D42" s="110"/>
      <c r="E42" s="110"/>
      <c r="F42" s="110"/>
      <c r="G42" s="120"/>
      <c r="H42" s="121"/>
      <c r="I42" s="128"/>
      <c r="J42" s="110"/>
    </row>
    <row r="43" spans="1:10">
      <c r="A43" s="110"/>
      <c r="B43" s="110"/>
      <c r="C43" s="110"/>
      <c r="D43" s="110"/>
      <c r="E43" s="110"/>
      <c r="F43" s="110"/>
      <c r="G43" s="120"/>
      <c r="H43" s="121"/>
      <c r="I43" s="128"/>
      <c r="J43" s="110"/>
    </row>
    <row r="44" spans="1:10">
      <c r="A44" s="110"/>
      <c r="B44" s="110"/>
      <c r="C44" s="110"/>
      <c r="D44" s="110"/>
      <c r="E44" s="110"/>
      <c r="F44" s="110"/>
      <c r="G44" s="122"/>
      <c r="H44" s="123"/>
      <c r="I44" s="129"/>
      <c r="J44" s="110"/>
    </row>
    <row r="45" spans="1:10">
      <c r="A45" s="110"/>
      <c r="B45" s="110"/>
      <c r="C45" s="110"/>
      <c r="D45" s="110"/>
      <c r="E45" s="110"/>
      <c r="F45" s="110"/>
      <c r="G45" s="110"/>
      <c r="H45" s="110"/>
      <c r="I45" s="110"/>
      <c r="J45" s="110"/>
    </row>
  </sheetData>
  <mergeCells count="4">
    <mergeCell ref="I38:I39"/>
    <mergeCell ref="I40:I44"/>
    <mergeCell ref="G38:H39"/>
    <mergeCell ref="G40:H44"/>
  </mergeCells>
  <pageMargins left="0.7" right="0.7" top="0.75" bottom="0.75" header="0.3" footer="0.3"/>
  <pageSetup paperSize="9" scale="91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2:E42"/>
  <sheetViews>
    <sheetView showGridLines="0" view="pageBreakPreview" zoomScale="115" zoomScaleNormal="100" zoomScaleSheetLayoutView="115" workbookViewId="0">
      <selection activeCell="C6" sqref="C6"/>
    </sheetView>
  </sheetViews>
  <sheetFormatPr defaultColWidth="9" defaultRowHeight="10.8" outlineLevelCol="4"/>
  <cols>
    <col min="1" max="1" width="8.88888888888889" style="104"/>
    <col min="2" max="2" width="9" style="104" customWidth="1"/>
    <col min="3" max="3" width="47.2222222222222" style="104" customWidth="1"/>
    <col min="4" max="4" width="8.88888888888889" style="104"/>
    <col min="5" max="5" width="10.5555555555556" style="104" customWidth="1"/>
    <col min="6" max="16384" width="8.88888888888889" style="104"/>
  </cols>
  <sheetData>
    <row r="2" ht="13.2" spans="2:5">
      <c r="B2" s="105" t="s">
        <v>5</v>
      </c>
      <c r="C2" s="105" t="s">
        <v>6</v>
      </c>
      <c r="D2" s="105" t="s">
        <v>7</v>
      </c>
      <c r="E2" s="105" t="s">
        <v>1</v>
      </c>
    </row>
    <row r="3" ht="13.2" spans="2:5">
      <c r="B3" s="105">
        <v>1</v>
      </c>
      <c r="C3" s="106" t="s">
        <v>8</v>
      </c>
      <c r="D3" s="105" t="s">
        <v>9</v>
      </c>
      <c r="E3" s="107">
        <v>44094</v>
      </c>
    </row>
    <row r="4" ht="13.2" spans="2:5">
      <c r="B4" s="105">
        <v>2</v>
      </c>
      <c r="C4" s="106" t="s">
        <v>10</v>
      </c>
      <c r="D4" s="105" t="s">
        <v>9</v>
      </c>
      <c r="E4" s="107">
        <v>44100</v>
      </c>
    </row>
    <row r="5" ht="13.2" spans="2:5">
      <c r="B5" s="105">
        <v>3</v>
      </c>
      <c r="C5" s="106" t="s">
        <v>11</v>
      </c>
      <c r="D5" s="105" t="s">
        <v>9</v>
      </c>
      <c r="E5" s="107">
        <v>44100</v>
      </c>
    </row>
    <row r="6" ht="13.2" spans="2:5">
      <c r="B6" s="105">
        <v>4</v>
      </c>
      <c r="C6" s="106"/>
      <c r="D6" s="105"/>
      <c r="E6" s="105"/>
    </row>
    <row r="7" ht="13.2" spans="2:5">
      <c r="B7" s="105"/>
      <c r="C7" s="106"/>
      <c r="D7" s="105"/>
      <c r="E7" s="105"/>
    </row>
    <row r="8" ht="13.2" spans="2:5">
      <c r="B8" s="105"/>
      <c r="C8" s="106"/>
      <c r="D8" s="105"/>
      <c r="E8" s="105"/>
    </row>
    <row r="9" ht="13.2" spans="2:5">
      <c r="B9" s="105"/>
      <c r="C9" s="106"/>
      <c r="D9" s="105"/>
      <c r="E9" s="105"/>
    </row>
    <row r="10" ht="13.2" spans="2:5">
      <c r="B10" s="105"/>
      <c r="C10" s="106"/>
      <c r="D10" s="105"/>
      <c r="E10" s="105"/>
    </row>
    <row r="11" ht="13.2" spans="2:5">
      <c r="B11" s="105"/>
      <c r="C11" s="106"/>
      <c r="D11" s="105"/>
      <c r="E11" s="105"/>
    </row>
    <row r="12" ht="13.2" spans="2:5">
      <c r="B12" s="105"/>
      <c r="C12" s="106"/>
      <c r="D12" s="105"/>
      <c r="E12" s="105"/>
    </row>
    <row r="13" ht="13.2" spans="2:5">
      <c r="B13" s="105"/>
      <c r="C13" s="106"/>
      <c r="D13" s="105"/>
      <c r="E13" s="105"/>
    </row>
    <row r="14" ht="13.2" spans="2:5">
      <c r="B14" s="105"/>
      <c r="C14" s="106"/>
      <c r="D14" s="105"/>
      <c r="E14" s="105"/>
    </row>
    <row r="15" ht="13.2" spans="2:5">
      <c r="B15" s="105"/>
      <c r="C15" s="106"/>
      <c r="D15" s="105"/>
      <c r="E15" s="105"/>
    </row>
    <row r="16" ht="13.2" spans="2:5">
      <c r="B16" s="105"/>
      <c r="C16" s="106"/>
      <c r="D16" s="105"/>
      <c r="E16" s="105"/>
    </row>
    <row r="17" ht="13.2" spans="2:5">
      <c r="B17" s="105"/>
      <c r="C17" s="106"/>
      <c r="D17" s="105"/>
      <c r="E17" s="105"/>
    </row>
    <row r="18" ht="13.2" spans="2:5">
      <c r="B18" s="105"/>
      <c r="C18" s="106"/>
      <c r="D18" s="105"/>
      <c r="E18" s="105"/>
    </row>
    <row r="19" ht="13.2" spans="2:5">
      <c r="B19" s="105"/>
      <c r="C19" s="106"/>
      <c r="D19" s="105"/>
      <c r="E19" s="105"/>
    </row>
    <row r="20" ht="13.2" spans="2:5">
      <c r="B20" s="105"/>
      <c r="C20" s="106"/>
      <c r="D20" s="105"/>
      <c r="E20" s="105"/>
    </row>
    <row r="21" ht="13.2" spans="2:5">
      <c r="B21" s="105"/>
      <c r="C21" s="106"/>
      <c r="D21" s="105"/>
      <c r="E21" s="105"/>
    </row>
    <row r="22" ht="13.2" spans="2:5">
      <c r="B22" s="105"/>
      <c r="C22" s="106"/>
      <c r="D22" s="105"/>
      <c r="E22" s="105"/>
    </row>
    <row r="23" ht="13.2" spans="2:5">
      <c r="B23" s="105"/>
      <c r="C23" s="106"/>
      <c r="D23" s="105"/>
      <c r="E23" s="105"/>
    </row>
    <row r="24" ht="13.2" spans="2:5">
      <c r="B24" s="105"/>
      <c r="C24" s="106"/>
      <c r="D24" s="105"/>
      <c r="E24" s="105"/>
    </row>
    <row r="25" ht="13.2" spans="2:5">
      <c r="B25" s="105"/>
      <c r="C25" s="106"/>
      <c r="D25" s="105"/>
      <c r="E25" s="105"/>
    </row>
    <row r="26" ht="13.2" spans="2:5">
      <c r="B26" s="105"/>
      <c r="C26" s="106"/>
      <c r="D26" s="105"/>
      <c r="E26" s="105"/>
    </row>
    <row r="27" ht="13.2" spans="2:5">
      <c r="B27" s="105"/>
      <c r="C27" s="106"/>
      <c r="D27" s="105"/>
      <c r="E27" s="105"/>
    </row>
    <row r="28" ht="13.2" spans="2:5">
      <c r="B28" s="105"/>
      <c r="C28" s="106"/>
      <c r="D28" s="105"/>
      <c r="E28" s="105"/>
    </row>
    <row r="29" ht="13.2" spans="2:5">
      <c r="B29" s="105"/>
      <c r="C29" s="106"/>
      <c r="D29" s="105"/>
      <c r="E29" s="105"/>
    </row>
    <row r="30" ht="13.2" spans="2:5">
      <c r="B30" s="105"/>
      <c r="C30" s="106"/>
      <c r="D30" s="105"/>
      <c r="E30" s="105"/>
    </row>
    <row r="31" ht="13.2" spans="2:5">
      <c r="B31" s="105"/>
      <c r="C31" s="106"/>
      <c r="D31" s="105"/>
      <c r="E31" s="105"/>
    </row>
    <row r="32" ht="13.2" spans="2:5">
      <c r="B32" s="105"/>
      <c r="C32" s="106"/>
      <c r="D32" s="105"/>
      <c r="E32" s="105"/>
    </row>
    <row r="33" ht="13.2" spans="2:5">
      <c r="B33" s="105"/>
      <c r="C33" s="106"/>
      <c r="D33" s="105"/>
      <c r="E33" s="105"/>
    </row>
    <row r="34" ht="13.2" spans="2:5">
      <c r="B34" s="105"/>
      <c r="C34" s="106"/>
      <c r="D34" s="105"/>
      <c r="E34" s="105"/>
    </row>
    <row r="35" ht="13.2" spans="2:5">
      <c r="B35" s="105"/>
      <c r="C35" s="106"/>
      <c r="D35" s="105"/>
      <c r="E35" s="105"/>
    </row>
    <row r="36" ht="13.2" spans="2:5">
      <c r="B36" s="105"/>
      <c r="C36" s="106"/>
      <c r="D36" s="105"/>
      <c r="E36" s="105"/>
    </row>
    <row r="37" ht="13.2" spans="2:5">
      <c r="B37" s="105"/>
      <c r="C37" s="106"/>
      <c r="D37" s="105"/>
      <c r="E37" s="105"/>
    </row>
    <row r="38" ht="13.2" spans="2:5">
      <c r="B38" s="105"/>
      <c r="C38" s="106"/>
      <c r="D38" s="105"/>
      <c r="E38" s="105"/>
    </row>
    <row r="39" ht="13.2" spans="2:5">
      <c r="B39" s="105"/>
      <c r="C39" s="106"/>
      <c r="D39" s="105"/>
      <c r="E39" s="105"/>
    </row>
    <row r="40" ht="13.2" spans="2:5">
      <c r="B40" s="105"/>
      <c r="C40" s="106"/>
      <c r="D40" s="105"/>
      <c r="E40" s="105"/>
    </row>
    <row r="41" ht="13.2" spans="2:5">
      <c r="B41" s="105"/>
      <c r="C41" s="106"/>
      <c r="D41" s="105"/>
      <c r="E41" s="105"/>
    </row>
    <row r="42" ht="13.2" spans="2:5">
      <c r="B42" s="105"/>
      <c r="C42" s="106"/>
      <c r="D42" s="105"/>
      <c r="E42" s="105"/>
    </row>
  </sheetData>
  <pageMargins left="0.7" right="0.7" top="0.75" bottom="0.75" header="0.3" footer="0.3"/>
  <pageSetup paperSize="9" scale="80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2:B13"/>
  <sheetViews>
    <sheetView workbookViewId="0">
      <selection activeCell="B4" sqref="B4"/>
    </sheetView>
  </sheetViews>
  <sheetFormatPr defaultColWidth="9" defaultRowHeight="13.2" outlineLevelCol="1"/>
  <cols>
    <col min="1" max="16384" width="8.88888888888889" style="23"/>
  </cols>
  <sheetData>
    <row r="2" ht="14.4" spans="2:2">
      <c r="B2" s="102" t="s">
        <v>12</v>
      </c>
    </row>
    <row r="3" ht="14.4" spans="2:2">
      <c r="B3" s="103" t="s">
        <v>13</v>
      </c>
    </row>
    <row r="4" ht="14.4" spans="2:2">
      <c r="B4" s="103" t="s">
        <v>14</v>
      </c>
    </row>
    <row r="5" ht="14.4" spans="2:2">
      <c r="B5" s="103" t="s">
        <v>15</v>
      </c>
    </row>
    <row r="6" ht="14.4" spans="2:2">
      <c r="B6" s="103" t="s">
        <v>16</v>
      </c>
    </row>
    <row r="7" ht="14.4" spans="2:2">
      <c r="B7" s="103" t="s">
        <v>17</v>
      </c>
    </row>
    <row r="8" ht="14.4" spans="2:2">
      <c r="B8" s="103" t="s">
        <v>18</v>
      </c>
    </row>
    <row r="9" ht="14.4" spans="2:2">
      <c r="B9" s="103" t="s">
        <v>19</v>
      </c>
    </row>
    <row r="10" ht="14.4" spans="2:2">
      <c r="B10" s="103" t="s">
        <v>20</v>
      </c>
    </row>
    <row r="11" ht="14.4" spans="2:2">
      <c r="B11" s="103" t="s">
        <v>21</v>
      </c>
    </row>
    <row r="12" ht="14.4" spans="2:2">
      <c r="B12" s="103" t="s">
        <v>22</v>
      </c>
    </row>
    <row r="13" ht="14.4" spans="2:2">
      <c r="B13" s="103" t="s">
        <v>23</v>
      </c>
    </row>
  </sheetData>
  <hyperlinks>
    <hyperlink ref="B3" location="敬体形!Print_Area" display="敬体形"/>
    <hyperlink ref="B4" location="簡体形!Print_Area" display="簡体形"/>
    <hyperlink ref="B5" location="尊他语!Print_Area" display="尊他语"/>
    <hyperlink ref="B6" location="自謙語!Print_Area" display="自謙語"/>
    <hyperlink ref="B7" location="数量詞!Print_Area" display="数量詞"/>
    <hyperlink ref="B8" location="数量単位!Print_Area" display="数量単位"/>
    <hyperlink ref="B9" location="序数!Print_Area" display="序数"/>
    <hyperlink ref="B10" location="日!Print_Area" display="日"/>
    <hyperlink ref="B11" location="他の時間!Print_Area" display="他の時間"/>
    <hyperlink ref="B12" location="世界各国!Print_Area" display="世界各国"/>
    <hyperlink ref="B13" location="英語!Print_Area" display="英語"/>
  </hyperlink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1:D17"/>
  <sheetViews>
    <sheetView showGridLines="0" view="pageBreakPreview" zoomScale="115" zoomScaleNormal="115" zoomScaleSheetLayoutView="115" workbookViewId="0">
      <selection activeCell="A1" sqref="A1:H49"/>
    </sheetView>
  </sheetViews>
  <sheetFormatPr defaultColWidth="9" defaultRowHeight="13.2" outlineLevelCol="3"/>
  <cols>
    <col min="1" max="1" width="8.88888888888889" style="23"/>
    <col min="2" max="3" width="13.8888888888889" style="23" customWidth="1"/>
    <col min="4" max="4" width="29.3333333333333" style="23" customWidth="1"/>
    <col min="5" max="5" width="9.22222222222222" style="23" customWidth="1"/>
    <col min="6" max="16384" width="8.88888888888889" style="23"/>
  </cols>
  <sheetData>
    <row r="1" ht="13.95"/>
    <row r="2" ht="14.4" spans="2:4">
      <c r="B2" s="83" t="s">
        <v>24</v>
      </c>
      <c r="C2" s="84" t="s">
        <v>25</v>
      </c>
      <c r="D2" s="84" t="s">
        <v>26</v>
      </c>
    </row>
    <row r="3" ht="14.4" spans="2:4">
      <c r="B3" s="85"/>
      <c r="C3" s="86" t="s">
        <v>27</v>
      </c>
      <c r="D3" s="86" t="s">
        <v>28</v>
      </c>
    </row>
    <row r="4" ht="14.4" spans="2:4">
      <c r="B4" s="85"/>
      <c r="C4" s="86" t="s">
        <v>29</v>
      </c>
      <c r="D4" s="86" t="s">
        <v>30</v>
      </c>
    </row>
    <row r="5" ht="15.15" spans="2:4">
      <c r="B5" s="87"/>
      <c r="C5" s="88" t="s">
        <v>31</v>
      </c>
      <c r="D5" s="88" t="s">
        <v>32</v>
      </c>
    </row>
    <row r="6" ht="14.4" spans="2:4">
      <c r="B6" s="89" t="s">
        <v>33</v>
      </c>
      <c r="C6" s="90" t="s">
        <v>25</v>
      </c>
      <c r="D6" s="90" t="s">
        <v>34</v>
      </c>
    </row>
    <row r="7" ht="14.4" spans="2:4">
      <c r="B7" s="91"/>
      <c r="C7" s="92" t="s">
        <v>27</v>
      </c>
      <c r="D7" s="92" t="s">
        <v>35</v>
      </c>
    </row>
    <row r="8" ht="14.4" spans="2:4">
      <c r="B8" s="91"/>
      <c r="C8" s="92" t="s">
        <v>29</v>
      </c>
      <c r="D8" s="92" t="s">
        <v>36</v>
      </c>
    </row>
    <row r="9" ht="15.15" spans="2:4">
      <c r="B9" s="93"/>
      <c r="C9" s="94" t="s">
        <v>31</v>
      </c>
      <c r="D9" s="94" t="s">
        <v>37</v>
      </c>
    </row>
    <row r="10" ht="14.4" spans="2:4">
      <c r="B10" s="95" t="s">
        <v>38</v>
      </c>
      <c r="C10" s="96" t="s">
        <v>25</v>
      </c>
      <c r="D10" s="96" t="s">
        <v>39</v>
      </c>
    </row>
    <row r="11" customHeight="1" spans="2:4">
      <c r="B11" s="97"/>
      <c r="C11" s="98" t="s">
        <v>27</v>
      </c>
      <c r="D11" s="99" t="s">
        <v>40</v>
      </c>
    </row>
    <row r="12" ht="14.4" spans="2:4">
      <c r="B12" s="97"/>
      <c r="C12" s="99" t="s">
        <v>29</v>
      </c>
      <c r="D12" s="99" t="s">
        <v>41</v>
      </c>
    </row>
    <row r="13" ht="15.15" spans="2:4">
      <c r="B13" s="100"/>
      <c r="C13" s="101" t="s">
        <v>31</v>
      </c>
      <c r="D13" s="101" t="s">
        <v>42</v>
      </c>
    </row>
    <row r="14" ht="14.4" spans="2:4">
      <c r="B14" s="83" t="s">
        <v>43</v>
      </c>
      <c r="C14" s="84" t="s">
        <v>25</v>
      </c>
      <c r="D14" s="84" t="s">
        <v>44</v>
      </c>
    </row>
    <row r="15" ht="14.4" spans="2:4">
      <c r="B15" s="85"/>
      <c r="C15" s="86" t="s">
        <v>27</v>
      </c>
      <c r="D15" s="86" t="s">
        <v>45</v>
      </c>
    </row>
    <row r="16" ht="14.4" spans="2:4">
      <c r="B16" s="85"/>
      <c r="C16" s="86" t="s">
        <v>29</v>
      </c>
      <c r="D16" s="86" t="s">
        <v>46</v>
      </c>
    </row>
    <row r="17" ht="15.15" spans="2:4">
      <c r="B17" s="87"/>
      <c r="C17" s="88" t="s">
        <v>31</v>
      </c>
      <c r="D17" s="88" t="s">
        <v>47</v>
      </c>
    </row>
  </sheetData>
  <mergeCells count="4">
    <mergeCell ref="B2:B5"/>
    <mergeCell ref="B6:B9"/>
    <mergeCell ref="B10:B13"/>
    <mergeCell ref="B14:B17"/>
  </mergeCells>
  <pageMargins left="0.7" right="0.7" top="0.75" bottom="0.75" header="0.3" footer="0.3"/>
  <pageSetup paperSize="9" scale="87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D17"/>
  <sheetViews>
    <sheetView showGridLines="0" view="pageBreakPreview" zoomScale="115" zoomScaleNormal="100" zoomScaleSheetLayoutView="115" workbookViewId="0">
      <selection activeCell="A1" sqref="A1:H50"/>
    </sheetView>
  </sheetViews>
  <sheetFormatPr defaultColWidth="9" defaultRowHeight="13.2" outlineLevelCol="3"/>
  <cols>
    <col min="1" max="1" width="8.88888888888889" style="23"/>
    <col min="2" max="3" width="13.8888888888889" style="23" customWidth="1"/>
    <col min="4" max="4" width="29" style="23" customWidth="1"/>
    <col min="5" max="16384" width="8.88888888888889" style="23"/>
  </cols>
  <sheetData>
    <row r="1" ht="13.95"/>
    <row r="2" ht="14.4" spans="2:4">
      <c r="B2" s="83" t="s">
        <v>24</v>
      </c>
      <c r="C2" s="84" t="s">
        <v>25</v>
      </c>
      <c r="D2" s="84" t="s">
        <v>48</v>
      </c>
    </row>
    <row r="3" ht="14.4" spans="2:4">
      <c r="B3" s="85"/>
      <c r="C3" s="86" t="s">
        <v>27</v>
      </c>
      <c r="D3" s="86" t="s">
        <v>49</v>
      </c>
    </row>
    <row r="4" ht="14.4" spans="2:4">
      <c r="B4" s="85"/>
      <c r="C4" s="86" t="s">
        <v>29</v>
      </c>
      <c r="D4" s="86" t="s">
        <v>50</v>
      </c>
    </row>
    <row r="5" ht="15.15" spans="2:4">
      <c r="B5" s="87"/>
      <c r="C5" s="88" t="s">
        <v>31</v>
      </c>
      <c r="D5" s="88" t="s">
        <v>51</v>
      </c>
    </row>
    <row r="6" ht="14.4" spans="2:4">
      <c r="B6" s="89" t="s">
        <v>33</v>
      </c>
      <c r="C6" s="90" t="s">
        <v>25</v>
      </c>
      <c r="D6" s="90" t="s">
        <v>52</v>
      </c>
    </row>
    <row r="7" ht="14.4" spans="2:4">
      <c r="B7" s="91"/>
      <c r="C7" s="92" t="s">
        <v>27</v>
      </c>
      <c r="D7" s="92" t="s">
        <v>53</v>
      </c>
    </row>
    <row r="8" ht="14.4" spans="2:4">
      <c r="B8" s="91"/>
      <c r="C8" s="92" t="s">
        <v>29</v>
      </c>
      <c r="D8" s="92" t="s">
        <v>54</v>
      </c>
    </row>
    <row r="9" ht="15.15" spans="2:4">
      <c r="B9" s="93"/>
      <c r="C9" s="94" t="s">
        <v>31</v>
      </c>
      <c r="D9" s="94" t="s">
        <v>55</v>
      </c>
    </row>
    <row r="10" ht="14.4" spans="2:4">
      <c r="B10" s="95" t="s">
        <v>38</v>
      </c>
      <c r="C10" s="96" t="s">
        <v>25</v>
      </c>
      <c r="D10" s="96" t="s">
        <v>56</v>
      </c>
    </row>
    <row r="11" ht="14.4" spans="2:4">
      <c r="B11" s="97"/>
      <c r="C11" s="98" t="s">
        <v>27</v>
      </c>
      <c r="D11" s="99" t="s">
        <v>57</v>
      </c>
    </row>
    <row r="12" ht="14.4" spans="2:4">
      <c r="B12" s="97"/>
      <c r="C12" s="99" t="s">
        <v>29</v>
      </c>
      <c r="D12" s="99" t="s">
        <v>58</v>
      </c>
    </row>
    <row r="13" ht="15.15" spans="2:4">
      <c r="B13" s="100"/>
      <c r="C13" s="101" t="s">
        <v>31</v>
      </c>
      <c r="D13" s="101" t="s">
        <v>59</v>
      </c>
    </row>
    <row r="14" ht="14.4" spans="2:4">
      <c r="B14" s="83" t="s">
        <v>43</v>
      </c>
      <c r="C14" s="84" t="s">
        <v>25</v>
      </c>
      <c r="D14" s="84" t="s">
        <v>60</v>
      </c>
    </row>
    <row r="15" ht="14.4" spans="2:4">
      <c r="B15" s="85"/>
      <c r="C15" s="86" t="s">
        <v>27</v>
      </c>
      <c r="D15" s="86" t="s">
        <v>61</v>
      </c>
    </row>
    <row r="16" ht="14.4" spans="2:4">
      <c r="B16" s="85"/>
      <c r="C16" s="86" t="s">
        <v>29</v>
      </c>
      <c r="D16" s="86" t="s">
        <v>62</v>
      </c>
    </row>
    <row r="17" ht="15.15" spans="2:4">
      <c r="B17" s="87"/>
      <c r="C17" s="88" t="s">
        <v>31</v>
      </c>
      <c r="D17" s="88" t="s">
        <v>63</v>
      </c>
    </row>
  </sheetData>
  <mergeCells count="4">
    <mergeCell ref="B2:B5"/>
    <mergeCell ref="B6:B9"/>
    <mergeCell ref="B10:B13"/>
    <mergeCell ref="B14:B17"/>
  </mergeCells>
  <pageMargins left="0.7" right="0.7" top="0.75" bottom="0.75" header="0.3" footer="0.3"/>
  <pageSetup paperSize="9" scale="88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B2:I24"/>
  <sheetViews>
    <sheetView showGridLines="0" view="pageBreakPreview" zoomScaleNormal="115" zoomScaleSheetLayoutView="100" workbookViewId="0">
      <selection activeCell="A1" sqref="A1"/>
    </sheetView>
  </sheetViews>
  <sheetFormatPr defaultColWidth="9" defaultRowHeight="13.2"/>
  <cols>
    <col min="1" max="3" width="8.88888888888889" style="23"/>
    <col min="4" max="4" width="34.3333333333333" style="23" customWidth="1"/>
    <col min="5" max="5" width="8.88888888888889" style="23"/>
    <col min="6" max="6" width="42.3333333333333" style="23" customWidth="1"/>
    <col min="7" max="7" width="60.8888888888889" style="23" customWidth="1"/>
    <col min="8" max="8" width="19.3333333333333" style="23" customWidth="1"/>
    <col min="9" max="9" width="9.55555555555556" style="23" customWidth="1"/>
    <col min="10" max="16384" width="8.88888888888889" style="23"/>
  </cols>
  <sheetData>
    <row r="2" ht="14.4" customHeight="1" spans="3:4">
      <c r="C2" s="57" t="s">
        <v>64</v>
      </c>
      <c r="D2" s="40" t="s">
        <v>65</v>
      </c>
    </row>
    <row r="3" spans="3:4">
      <c r="C3" s="58"/>
      <c r="D3" s="40" t="s">
        <v>66</v>
      </c>
    </row>
    <row r="4" spans="3:4">
      <c r="C4" s="58"/>
      <c r="D4" s="40" t="s">
        <v>67</v>
      </c>
    </row>
    <row r="5" spans="3:4">
      <c r="C5" s="59"/>
      <c r="D5" s="40" t="s">
        <v>68</v>
      </c>
    </row>
    <row r="7" spans="3:4">
      <c r="C7" s="60" t="s">
        <v>69</v>
      </c>
      <c r="D7" s="60"/>
    </row>
    <row r="8" spans="3:9">
      <c r="C8" s="37" t="s">
        <v>70</v>
      </c>
      <c r="D8" s="37"/>
      <c r="E8" s="61" t="s">
        <v>71</v>
      </c>
      <c r="F8" s="62"/>
      <c r="G8" s="63"/>
      <c r="H8" s="64"/>
      <c r="I8" s="64"/>
    </row>
    <row r="9" ht="14.4" spans="3:9">
      <c r="C9" s="37" t="s">
        <v>72</v>
      </c>
      <c r="D9" s="46"/>
      <c r="E9" s="37" t="s">
        <v>73</v>
      </c>
      <c r="F9" s="37"/>
      <c r="G9" s="37"/>
      <c r="H9" s="65" t="s">
        <v>74</v>
      </c>
      <c r="I9" s="65"/>
    </row>
    <row r="10" ht="29.4" customHeight="1" spans="3:9">
      <c r="C10" s="61" t="s">
        <v>75</v>
      </c>
      <c r="D10" s="66"/>
      <c r="E10" s="67"/>
      <c r="F10" s="68"/>
      <c r="G10" s="69"/>
      <c r="H10" s="70" t="s">
        <v>76</v>
      </c>
      <c r="I10" s="82"/>
    </row>
    <row r="13" spans="3:4">
      <c r="C13" s="60" t="s">
        <v>77</v>
      </c>
      <c r="D13" s="60"/>
    </row>
    <row r="14" spans="2:8">
      <c r="B14" s="71" t="s">
        <v>78</v>
      </c>
      <c r="C14" s="36" t="s">
        <v>14</v>
      </c>
      <c r="D14" s="36"/>
      <c r="E14" s="36" t="s">
        <v>13</v>
      </c>
      <c r="F14" s="36"/>
      <c r="G14" s="36" t="s">
        <v>79</v>
      </c>
      <c r="H14" s="72"/>
    </row>
    <row r="15" spans="2:7">
      <c r="B15" s="71"/>
      <c r="C15" s="52" t="s">
        <v>80</v>
      </c>
      <c r="D15" s="73"/>
      <c r="E15" s="52" t="s">
        <v>81</v>
      </c>
      <c r="F15" s="73"/>
      <c r="G15" s="52" t="s">
        <v>82</v>
      </c>
    </row>
    <row r="16" spans="2:7">
      <c r="B16" s="71"/>
      <c r="C16" s="52" t="s">
        <v>83</v>
      </c>
      <c r="D16" s="73"/>
      <c r="E16" s="52" t="s">
        <v>84</v>
      </c>
      <c r="F16" s="73"/>
      <c r="G16" s="52" t="s">
        <v>85</v>
      </c>
    </row>
    <row r="17" spans="2:7">
      <c r="B17" s="71"/>
      <c r="C17" s="61"/>
      <c r="D17" s="63"/>
      <c r="E17" s="61"/>
      <c r="F17" s="63"/>
      <c r="G17" s="52"/>
    </row>
    <row r="20" ht="14.4" customHeight="1" spans="2:7">
      <c r="B20" s="71" t="s">
        <v>86</v>
      </c>
      <c r="C20" s="74" t="s">
        <v>87</v>
      </c>
      <c r="D20" s="75"/>
      <c r="E20" s="76" t="s">
        <v>88</v>
      </c>
      <c r="F20" s="77"/>
      <c r="G20" s="36" t="s">
        <v>89</v>
      </c>
    </row>
    <row r="21" spans="2:7">
      <c r="B21" s="71"/>
      <c r="C21" s="61" t="s">
        <v>90</v>
      </c>
      <c r="D21" s="63"/>
      <c r="E21" s="61" t="s">
        <v>91</v>
      </c>
      <c r="F21" s="63"/>
      <c r="G21" s="52" t="s">
        <v>92</v>
      </c>
    </row>
    <row r="22" spans="2:8">
      <c r="B22" s="71"/>
      <c r="C22" s="61" t="s">
        <v>93</v>
      </c>
      <c r="D22" s="63"/>
      <c r="E22" s="61" t="s">
        <v>94</v>
      </c>
      <c r="F22" s="63"/>
      <c r="G22" s="52" t="s">
        <v>95</v>
      </c>
      <c r="H22" s="78"/>
    </row>
    <row r="23" spans="2:7">
      <c r="B23" s="71"/>
      <c r="C23" s="61" t="s">
        <v>96</v>
      </c>
      <c r="D23" s="63"/>
      <c r="E23" s="61" t="s">
        <v>97</v>
      </c>
      <c r="F23" s="63"/>
      <c r="G23" s="52" t="s">
        <v>98</v>
      </c>
    </row>
    <row r="24" spans="2:7">
      <c r="B24" s="71"/>
      <c r="C24" s="61" t="s">
        <v>99</v>
      </c>
      <c r="D24" s="63"/>
      <c r="E24" s="79"/>
      <c r="F24" s="80"/>
      <c r="G24" s="81"/>
    </row>
  </sheetData>
  <mergeCells count="32">
    <mergeCell ref="C7:D7"/>
    <mergeCell ref="C8:D8"/>
    <mergeCell ref="E8:G8"/>
    <mergeCell ref="H8:I8"/>
    <mergeCell ref="C9:D9"/>
    <mergeCell ref="E9:G9"/>
    <mergeCell ref="H9:I9"/>
    <mergeCell ref="C10:D10"/>
    <mergeCell ref="E10:G10"/>
    <mergeCell ref="H10:I10"/>
    <mergeCell ref="C13:D13"/>
    <mergeCell ref="C14:D14"/>
    <mergeCell ref="E14:F14"/>
    <mergeCell ref="C15:D15"/>
    <mergeCell ref="E15:F15"/>
    <mergeCell ref="C16:D16"/>
    <mergeCell ref="E16:F16"/>
    <mergeCell ref="C17:D17"/>
    <mergeCell ref="E17:F17"/>
    <mergeCell ref="C20:D20"/>
    <mergeCell ref="E20:F20"/>
    <mergeCell ref="C21:D21"/>
    <mergeCell ref="E21:F21"/>
    <mergeCell ref="C22:D22"/>
    <mergeCell ref="E22:F22"/>
    <mergeCell ref="C23:D23"/>
    <mergeCell ref="E23:F23"/>
    <mergeCell ref="C24:D24"/>
    <mergeCell ref="E24:G24"/>
    <mergeCell ref="B14:B17"/>
    <mergeCell ref="B20:B24"/>
    <mergeCell ref="C2:C5"/>
  </mergeCells>
  <pageMargins left="0.7" right="0.7" top="0.75" bottom="0.75" header="0.3" footer="0.3"/>
  <pageSetup paperSize="9" scale="42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B2:K20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/>
  <cols>
    <col min="1" max="2" width="8.88888888888889" style="23"/>
    <col min="3" max="4" width="9.55555555555556" style="23" customWidth="1"/>
    <col min="5" max="10" width="8.88888888888889" style="23"/>
    <col min="11" max="11" width="24.7777777777778" style="23" customWidth="1"/>
    <col min="12" max="16384" width="8.88888888888889" style="23"/>
  </cols>
  <sheetData>
    <row r="2" spans="3:4">
      <c r="C2" s="52" t="s">
        <v>16</v>
      </c>
      <c r="D2" s="40" t="s">
        <v>65</v>
      </c>
    </row>
    <row r="3" spans="3:4">
      <c r="C3" s="52"/>
      <c r="D3" s="40" t="s">
        <v>66</v>
      </c>
    </row>
    <row r="4" spans="3:4">
      <c r="C4" s="52"/>
      <c r="D4" s="40" t="s">
        <v>67</v>
      </c>
    </row>
    <row r="5" spans="3:4">
      <c r="C5" s="52"/>
      <c r="D5" s="40" t="s">
        <v>100</v>
      </c>
    </row>
    <row r="7" spans="3:3">
      <c r="C7" s="53" t="s">
        <v>101</v>
      </c>
    </row>
    <row r="8" spans="3:11">
      <c r="C8" s="40" t="s">
        <v>102</v>
      </c>
      <c r="D8" s="40"/>
      <c r="E8" s="40"/>
      <c r="F8" s="40" t="s">
        <v>103</v>
      </c>
      <c r="G8" s="40"/>
      <c r="H8" s="40"/>
      <c r="I8" s="40"/>
      <c r="J8" s="40"/>
      <c r="K8" s="40"/>
    </row>
    <row r="9" ht="14.4" spans="3:11">
      <c r="C9" s="40" t="s">
        <v>104</v>
      </c>
      <c r="D9" s="42"/>
      <c r="E9" s="42"/>
      <c r="F9" s="40" t="s">
        <v>105</v>
      </c>
      <c r="G9" s="40"/>
      <c r="H9" s="40"/>
      <c r="I9" s="40"/>
      <c r="J9" s="40"/>
      <c r="K9" s="40"/>
    </row>
    <row r="10" spans="3:11">
      <c r="C10" s="40" t="s">
        <v>106</v>
      </c>
      <c r="D10" s="40"/>
      <c r="E10" s="40"/>
      <c r="F10" s="40" t="s">
        <v>107</v>
      </c>
      <c r="G10" s="40"/>
      <c r="H10" s="40"/>
      <c r="I10" s="40"/>
      <c r="J10" s="40"/>
      <c r="K10" s="40"/>
    </row>
    <row r="12" spans="3:3">
      <c r="C12" s="53" t="s">
        <v>66</v>
      </c>
    </row>
    <row r="13" spans="2:11">
      <c r="B13" s="54" t="s">
        <v>78</v>
      </c>
      <c r="C13" s="36" t="s">
        <v>14</v>
      </c>
      <c r="D13" s="36"/>
      <c r="E13" s="36"/>
      <c r="F13" s="36" t="s">
        <v>13</v>
      </c>
      <c r="G13" s="36"/>
      <c r="H13" s="36"/>
      <c r="I13" s="36"/>
      <c r="J13" s="36" t="s">
        <v>79</v>
      </c>
      <c r="K13" s="36"/>
    </row>
    <row r="14" spans="2:11">
      <c r="B14" s="55"/>
      <c r="C14" s="52" t="s">
        <v>108</v>
      </c>
      <c r="D14" s="52"/>
      <c r="E14" s="52"/>
      <c r="F14" s="52" t="s">
        <v>109</v>
      </c>
      <c r="G14" s="52"/>
      <c r="H14" s="52"/>
      <c r="I14" s="52"/>
      <c r="J14" s="52" t="s">
        <v>110</v>
      </c>
      <c r="K14" s="52"/>
    </row>
    <row r="15" spans="2:11">
      <c r="B15" s="55"/>
      <c r="C15" s="52" t="s">
        <v>111</v>
      </c>
      <c r="D15" s="52"/>
      <c r="E15" s="52"/>
      <c r="F15" s="52" t="s">
        <v>112</v>
      </c>
      <c r="G15" s="52"/>
      <c r="H15" s="52"/>
      <c r="I15" s="52"/>
      <c r="J15" s="52" t="s">
        <v>85</v>
      </c>
      <c r="K15" s="52"/>
    </row>
    <row r="16" spans="2:11">
      <c r="B16" s="55"/>
      <c r="C16" s="52" t="s">
        <v>113</v>
      </c>
      <c r="D16" s="52"/>
      <c r="E16" s="52"/>
      <c r="F16" s="52" t="s">
        <v>114</v>
      </c>
      <c r="G16" s="52"/>
      <c r="H16" s="52"/>
      <c r="I16" s="52"/>
      <c r="J16" s="52" t="s">
        <v>115</v>
      </c>
      <c r="K16" s="52"/>
    </row>
    <row r="17" spans="2:11">
      <c r="B17" s="56"/>
      <c r="C17" s="52"/>
      <c r="D17" s="52"/>
      <c r="E17" s="52"/>
      <c r="F17" s="52"/>
      <c r="G17" s="52"/>
      <c r="H17" s="52"/>
      <c r="I17" s="52"/>
      <c r="J17" s="52"/>
      <c r="K17" s="52"/>
    </row>
    <row r="19" spans="2:11">
      <c r="B19" s="54" t="s">
        <v>86</v>
      </c>
      <c r="C19" s="36" t="s">
        <v>87</v>
      </c>
      <c r="D19" s="36"/>
      <c r="E19" s="36"/>
      <c r="F19" s="36" t="s">
        <v>88</v>
      </c>
      <c r="G19" s="36"/>
      <c r="H19" s="36"/>
      <c r="I19" s="36"/>
      <c r="J19" s="36" t="s">
        <v>89</v>
      </c>
      <c r="K19" s="36"/>
    </row>
    <row r="20" spans="2:11">
      <c r="B20" s="56"/>
      <c r="C20" s="52" t="s">
        <v>116</v>
      </c>
      <c r="D20" s="52"/>
      <c r="E20" s="52"/>
      <c r="F20" s="52" t="s">
        <v>117</v>
      </c>
      <c r="G20" s="52"/>
      <c r="H20" s="52"/>
      <c r="I20" s="52"/>
      <c r="J20" s="52" t="s">
        <v>118</v>
      </c>
      <c r="K20" s="52"/>
    </row>
  </sheetData>
  <mergeCells count="30">
    <mergeCell ref="C8:E8"/>
    <mergeCell ref="F8:K8"/>
    <mergeCell ref="C9:E9"/>
    <mergeCell ref="F9:K9"/>
    <mergeCell ref="C10:E10"/>
    <mergeCell ref="F10:K10"/>
    <mergeCell ref="C13:E13"/>
    <mergeCell ref="F13:I13"/>
    <mergeCell ref="J13:K13"/>
    <mergeCell ref="C14:E14"/>
    <mergeCell ref="F14:I14"/>
    <mergeCell ref="J14:K14"/>
    <mergeCell ref="C15:E15"/>
    <mergeCell ref="F15:I15"/>
    <mergeCell ref="J15:K15"/>
    <mergeCell ref="C16:E16"/>
    <mergeCell ref="F16:I16"/>
    <mergeCell ref="J16:K16"/>
    <mergeCell ref="C17:E17"/>
    <mergeCell ref="F17:I17"/>
    <mergeCell ref="J17:K17"/>
    <mergeCell ref="C19:E19"/>
    <mergeCell ref="F19:I19"/>
    <mergeCell ref="J19:K19"/>
    <mergeCell ref="C20:E20"/>
    <mergeCell ref="F20:I20"/>
    <mergeCell ref="J20:K20"/>
    <mergeCell ref="B13:B17"/>
    <mergeCell ref="B19:B20"/>
    <mergeCell ref="C2:C5"/>
  </mergeCells>
  <pageMargins left="0.7" right="0.7" top="0.75" bottom="0.75" header="0.3" footer="0.3"/>
  <pageSetup paperSize="9" scale="72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2:C12"/>
  <sheetViews>
    <sheetView showGridLines="0" view="pageBreakPreview" zoomScaleNormal="115" zoomScaleSheetLayoutView="100" workbookViewId="0">
      <selection activeCell="A1" sqref="A1"/>
    </sheetView>
  </sheetViews>
  <sheetFormatPr defaultColWidth="9" defaultRowHeight="13.2" outlineLevelCol="2"/>
  <cols>
    <col min="1" max="1" width="8.88888888888889" style="23"/>
    <col min="2" max="2" width="14.4444444444444" style="23" customWidth="1"/>
    <col min="3" max="3" width="12.4444444444444" style="23" customWidth="1"/>
    <col min="4" max="16384" width="8.88888888888889" style="23"/>
  </cols>
  <sheetData>
    <row r="2" spans="2:2">
      <c r="B2" s="38" t="s">
        <v>119</v>
      </c>
    </row>
    <row r="3" ht="14.4" spans="2:3">
      <c r="B3" s="48">
        <v>1</v>
      </c>
      <c r="C3" s="49" t="s">
        <v>120</v>
      </c>
    </row>
    <row r="4" ht="14.4" spans="2:3">
      <c r="B4" s="48">
        <v>2</v>
      </c>
      <c r="C4" s="49" t="s">
        <v>121</v>
      </c>
    </row>
    <row r="5" ht="14.4" spans="2:3">
      <c r="B5" s="50">
        <v>3</v>
      </c>
      <c r="C5" s="51" t="s">
        <v>122</v>
      </c>
    </row>
    <row r="6" ht="14.4" spans="2:3">
      <c r="B6" s="50">
        <v>4</v>
      </c>
      <c r="C6" s="51" t="s">
        <v>123</v>
      </c>
    </row>
    <row r="7" ht="14.4" spans="2:3">
      <c r="B7" s="48">
        <v>5</v>
      </c>
      <c r="C7" s="49" t="s">
        <v>124</v>
      </c>
    </row>
    <row r="8" ht="14.4" spans="2:3">
      <c r="B8" s="50">
        <v>6</v>
      </c>
      <c r="C8" s="51" t="s">
        <v>125</v>
      </c>
    </row>
    <row r="9" ht="14.4" spans="2:3">
      <c r="B9" s="48">
        <v>7</v>
      </c>
      <c r="C9" s="49" t="s">
        <v>126</v>
      </c>
    </row>
    <row r="10" ht="14.4" spans="2:3">
      <c r="B10" s="50">
        <v>8</v>
      </c>
      <c r="C10" s="51" t="s">
        <v>127</v>
      </c>
    </row>
    <row r="11" ht="14.4" spans="2:3">
      <c r="B11" s="48">
        <v>9</v>
      </c>
      <c r="C11" s="49" t="s">
        <v>128</v>
      </c>
    </row>
    <row r="12" ht="14.4" spans="2:3">
      <c r="B12" s="48">
        <v>10</v>
      </c>
      <c r="C12" s="49" t="s">
        <v>129</v>
      </c>
    </row>
  </sheetData>
  <pageMargins left="0.7" right="0.7" top="0.75" bottom="0.75" header="0.3" footer="0.3"/>
  <pageSetup paperSize="9" scale="77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B2:E16"/>
  <sheetViews>
    <sheetView showGridLines="0" view="pageBreakPreview" zoomScaleNormal="100" zoomScaleSheetLayoutView="100" workbookViewId="0">
      <selection activeCell="D20" sqref="D20"/>
    </sheetView>
  </sheetViews>
  <sheetFormatPr defaultColWidth="9" defaultRowHeight="13.2" outlineLevelCol="4"/>
  <cols>
    <col min="1" max="1" width="8.88888888888889" style="23"/>
    <col min="2" max="2" width="11.2222222222222" style="24" customWidth="1"/>
    <col min="3" max="3" width="10.8888888888889" style="24" customWidth="1"/>
    <col min="4" max="4" width="16.1111111111111" style="24" customWidth="1"/>
    <col min="5" max="16384" width="8.88888888888889" style="23"/>
  </cols>
  <sheetData>
    <row r="2" spans="2:2">
      <c r="B2" s="38" t="s">
        <v>18</v>
      </c>
    </row>
    <row r="3" spans="2:4">
      <c r="B3" s="36" t="s">
        <v>130</v>
      </c>
      <c r="C3" s="36" t="s">
        <v>131</v>
      </c>
      <c r="D3" s="36" t="s">
        <v>132</v>
      </c>
    </row>
    <row r="4" spans="2:5">
      <c r="B4" s="37" t="s">
        <v>133</v>
      </c>
      <c r="C4" s="37" t="s">
        <v>134</v>
      </c>
      <c r="D4" s="37" t="s">
        <v>135</v>
      </c>
      <c r="E4" s="23" t="s">
        <v>136</v>
      </c>
    </row>
    <row r="5" spans="2:4">
      <c r="B5" s="37" t="s">
        <v>137</v>
      </c>
      <c r="C5" s="37" t="s">
        <v>138</v>
      </c>
      <c r="D5" s="37" t="s">
        <v>139</v>
      </c>
    </row>
    <row r="6" spans="2:5">
      <c r="B6" s="37" t="s">
        <v>140</v>
      </c>
      <c r="C6" s="37" t="s">
        <v>141</v>
      </c>
      <c r="D6" s="37" t="s">
        <v>142</v>
      </c>
      <c r="E6" s="23" t="s">
        <v>136</v>
      </c>
    </row>
    <row r="7" spans="2:4">
      <c r="B7" s="37" t="s">
        <v>143</v>
      </c>
      <c r="C7" s="37" t="s">
        <v>144</v>
      </c>
      <c r="D7" s="37" t="s">
        <v>145</v>
      </c>
    </row>
    <row r="8" spans="2:5">
      <c r="B8" s="37" t="s">
        <v>146</v>
      </c>
      <c r="C8" s="37" t="s">
        <v>147</v>
      </c>
      <c r="D8" s="37" t="s">
        <v>148</v>
      </c>
      <c r="E8" s="23" t="s">
        <v>136</v>
      </c>
    </row>
    <row r="9" ht="14.4" spans="2:4">
      <c r="B9" s="37" t="s">
        <v>149</v>
      </c>
      <c r="C9" s="37" t="s">
        <v>150</v>
      </c>
      <c r="D9" s="37" t="s">
        <v>142</v>
      </c>
    </row>
    <row r="10" ht="14.4" spans="2:4">
      <c r="B10" s="37" t="s">
        <v>151</v>
      </c>
      <c r="C10" s="37" t="s">
        <v>152</v>
      </c>
      <c r="D10" s="37" t="s">
        <v>153</v>
      </c>
    </row>
    <row r="11" spans="2:4">
      <c r="B11" s="37" t="s">
        <v>154</v>
      </c>
      <c r="C11" s="37" t="s">
        <v>155</v>
      </c>
      <c r="D11" s="37" t="s">
        <v>156</v>
      </c>
    </row>
    <row r="12" spans="2:4">
      <c r="B12" s="37" t="s">
        <v>157</v>
      </c>
      <c r="C12" s="37" t="s">
        <v>158</v>
      </c>
      <c r="D12" s="37" t="s">
        <v>159</v>
      </c>
    </row>
    <row r="13" spans="2:4">
      <c r="B13" s="37" t="s">
        <v>160</v>
      </c>
      <c r="C13" s="37" t="s">
        <v>160</v>
      </c>
      <c r="D13" s="37" t="s">
        <v>161</v>
      </c>
    </row>
    <row r="14" spans="2:5">
      <c r="B14" s="37" t="s">
        <v>162</v>
      </c>
      <c r="C14" s="37" t="s">
        <v>163</v>
      </c>
      <c r="D14" s="37" t="s">
        <v>164</v>
      </c>
      <c r="E14" s="23" t="s">
        <v>136</v>
      </c>
    </row>
    <row r="15" spans="2:5">
      <c r="B15" s="37" t="s">
        <v>165</v>
      </c>
      <c r="C15" s="37" t="s">
        <v>166</v>
      </c>
      <c r="D15" s="37" t="s">
        <v>167</v>
      </c>
      <c r="E15" s="23" t="s">
        <v>136</v>
      </c>
    </row>
    <row r="16" spans="2:5">
      <c r="B16" s="37" t="s">
        <v>168</v>
      </c>
      <c r="C16" s="37" t="s">
        <v>169</v>
      </c>
      <c r="D16" s="37" t="s">
        <v>170</v>
      </c>
      <c r="E16" s="23" t="s">
        <v>136</v>
      </c>
    </row>
  </sheetData>
  <pageMargins left="0.7" right="0.7" top="0.75" bottom="0.75" header="0.3" footer="0.3"/>
  <pageSetup paperSize="9" scale="75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B2:D13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Col="3"/>
  <cols>
    <col min="1" max="3" width="8.88888888888889" style="23"/>
    <col min="4" max="4" width="13.8888888888889" style="23" customWidth="1"/>
    <col min="5" max="16384" width="8.88888888888889" style="23"/>
  </cols>
  <sheetData>
    <row r="2" spans="2:4">
      <c r="B2" s="38" t="s">
        <v>19</v>
      </c>
      <c r="C2" s="24"/>
      <c r="D2" s="24"/>
    </row>
    <row r="3" spans="2:4">
      <c r="B3" s="36" t="s">
        <v>130</v>
      </c>
      <c r="C3" s="36" t="s">
        <v>131</v>
      </c>
      <c r="D3" s="36" t="s">
        <v>132</v>
      </c>
    </row>
    <row r="4" spans="2:4">
      <c r="B4" s="40" t="s">
        <v>171</v>
      </c>
      <c r="C4" s="40" t="s">
        <v>172</v>
      </c>
      <c r="D4" s="40" t="s">
        <v>173</v>
      </c>
    </row>
    <row r="5" spans="2:4">
      <c r="B5" s="40" t="s">
        <v>174</v>
      </c>
      <c r="C5" s="40" t="s">
        <v>175</v>
      </c>
      <c r="D5" s="40" t="s">
        <v>176</v>
      </c>
    </row>
    <row r="6" spans="2:4">
      <c r="B6" s="40" t="s">
        <v>177</v>
      </c>
      <c r="C6" s="40" t="s">
        <v>178</v>
      </c>
      <c r="D6" s="40" t="s">
        <v>179</v>
      </c>
    </row>
    <row r="7" spans="2:4">
      <c r="B7" s="40" t="s">
        <v>180</v>
      </c>
      <c r="C7" s="40" t="s">
        <v>181</v>
      </c>
      <c r="D7" s="40" t="s">
        <v>182</v>
      </c>
    </row>
    <row r="8" spans="2:4">
      <c r="B8" s="40" t="s">
        <v>183</v>
      </c>
      <c r="C8" s="40" t="s">
        <v>184</v>
      </c>
      <c r="D8" s="40" t="s">
        <v>185</v>
      </c>
    </row>
    <row r="9" spans="2:4">
      <c r="B9" s="40" t="s">
        <v>186</v>
      </c>
      <c r="C9" s="40" t="s">
        <v>187</v>
      </c>
      <c r="D9" s="40" t="s">
        <v>188</v>
      </c>
    </row>
    <row r="10" spans="2:4">
      <c r="B10" s="40" t="s">
        <v>189</v>
      </c>
      <c r="C10" s="40" t="s">
        <v>190</v>
      </c>
      <c r="D10" s="40" t="s">
        <v>191</v>
      </c>
    </row>
    <row r="11" spans="2:4">
      <c r="B11" s="40" t="s">
        <v>192</v>
      </c>
      <c r="C11" s="40" t="s">
        <v>193</v>
      </c>
      <c r="D11" s="40" t="s">
        <v>194</v>
      </c>
    </row>
    <row r="12" spans="2:4">
      <c r="B12" s="40" t="s">
        <v>195</v>
      </c>
      <c r="C12" s="40" t="s">
        <v>196</v>
      </c>
      <c r="D12" s="40" t="s">
        <v>197</v>
      </c>
    </row>
    <row r="13" spans="2:4">
      <c r="B13" s="40" t="s">
        <v>198</v>
      </c>
      <c r="C13" s="40" t="s">
        <v>199</v>
      </c>
      <c r="D13" s="40" t="s">
        <v>200</v>
      </c>
    </row>
  </sheetData>
  <pageMargins left="0.7" right="0.7" top="0.75" bottom="0.75" header="0.3" footer="0.3"/>
  <pageSetup paperSize="9" scale="74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B2:D15"/>
  <sheetViews>
    <sheetView showGridLines="0" view="pageBreakPreview" zoomScaleNormal="100" zoomScaleSheetLayoutView="100" workbookViewId="0">
      <selection activeCell="S7" sqref="S7"/>
    </sheetView>
  </sheetViews>
  <sheetFormatPr defaultColWidth="9" defaultRowHeight="13.2" outlineLevelCol="3"/>
  <cols>
    <col min="1" max="3" width="8.88888888888889" style="43"/>
    <col min="4" max="4" width="16.1111111111111" style="43" customWidth="1"/>
    <col min="5" max="16384" width="8.88888888888889" style="43"/>
  </cols>
  <sheetData>
    <row r="2" spans="2:3">
      <c r="B2" s="38" t="s">
        <v>20</v>
      </c>
      <c r="C2" s="44"/>
    </row>
    <row r="3" spans="2:4">
      <c r="B3" s="45" t="s">
        <v>130</v>
      </c>
      <c r="C3" s="45" t="s">
        <v>131</v>
      </c>
      <c r="D3" s="45" t="s">
        <v>132</v>
      </c>
    </row>
    <row r="4" spans="2:4">
      <c r="B4" s="46" t="s">
        <v>201</v>
      </c>
      <c r="C4" s="46" t="s">
        <v>202</v>
      </c>
      <c r="D4" s="46" t="s">
        <v>203</v>
      </c>
    </row>
    <row r="5" spans="2:4">
      <c r="B5" s="47" t="s">
        <v>204</v>
      </c>
      <c r="C5" s="47" t="s">
        <v>205</v>
      </c>
      <c r="D5" s="47" t="s">
        <v>206</v>
      </c>
    </row>
    <row r="6" spans="2:4">
      <c r="B6" s="47" t="s">
        <v>207</v>
      </c>
      <c r="C6" s="47" t="s">
        <v>208</v>
      </c>
      <c r="D6" s="47" t="s">
        <v>209</v>
      </c>
    </row>
    <row r="7" spans="2:4">
      <c r="B7" s="47" t="s">
        <v>210</v>
      </c>
      <c r="C7" s="47" t="s">
        <v>211</v>
      </c>
      <c r="D7" s="47" t="s">
        <v>212</v>
      </c>
    </row>
    <row r="8" spans="2:4">
      <c r="B8" s="47" t="s">
        <v>213</v>
      </c>
      <c r="C8" s="47" t="s">
        <v>214</v>
      </c>
      <c r="D8" s="47" t="s">
        <v>215</v>
      </c>
    </row>
    <row r="9" spans="2:4">
      <c r="B9" s="47" t="s">
        <v>216</v>
      </c>
      <c r="C9" s="47" t="s">
        <v>217</v>
      </c>
      <c r="D9" s="47" t="s">
        <v>218</v>
      </c>
    </row>
    <row r="10" spans="2:4">
      <c r="B10" s="47" t="s">
        <v>219</v>
      </c>
      <c r="C10" s="47" t="s">
        <v>220</v>
      </c>
      <c r="D10" s="47" t="s">
        <v>221</v>
      </c>
    </row>
    <row r="11" spans="2:4">
      <c r="B11" s="47" t="s">
        <v>222</v>
      </c>
      <c r="C11" s="47" t="s">
        <v>223</v>
      </c>
      <c r="D11" s="47" t="s">
        <v>224</v>
      </c>
    </row>
    <row r="12" spans="2:4">
      <c r="B12" s="47" t="s">
        <v>225</v>
      </c>
      <c r="C12" s="47" t="s">
        <v>226</v>
      </c>
      <c r="D12" s="47" t="s">
        <v>227</v>
      </c>
    </row>
    <row r="13" spans="2:4">
      <c r="B13" s="47" t="s">
        <v>228</v>
      </c>
      <c r="C13" s="47" t="s">
        <v>229</v>
      </c>
      <c r="D13" s="47" t="s">
        <v>230</v>
      </c>
    </row>
    <row r="14" spans="2:4">
      <c r="B14" s="46" t="s">
        <v>231</v>
      </c>
      <c r="C14" s="46" t="s">
        <v>232</v>
      </c>
      <c r="D14" s="46" t="s">
        <v>233</v>
      </c>
    </row>
    <row r="15" spans="2:4">
      <c r="B15" s="46" t="s">
        <v>234</v>
      </c>
      <c r="C15" s="46" t="s">
        <v>235</v>
      </c>
      <c r="D15" s="46" t="s">
        <v>236</v>
      </c>
    </row>
  </sheetData>
  <pageMargins left="0.7" right="0.7" top="0.75" bottom="0.75" header="0.3" footer="0.3"/>
  <pageSetup paperSize="9" scale="72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D21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Col="3"/>
  <cols>
    <col min="1" max="1" width="8.88888888888889" style="23"/>
    <col min="2" max="2" width="9.55555555555556" style="23" customWidth="1"/>
    <col min="3" max="3" width="7.55555555555556" style="23" customWidth="1"/>
    <col min="4" max="4" width="11.6666666666667" style="23" customWidth="1"/>
    <col min="5" max="16384" width="8.88888888888889" style="23"/>
  </cols>
  <sheetData>
    <row r="2" spans="2:2">
      <c r="B2" s="38" t="s">
        <v>21</v>
      </c>
    </row>
    <row r="3" spans="2:4">
      <c r="B3" s="36" t="s">
        <v>130</v>
      </c>
      <c r="C3" s="36" t="s">
        <v>131</v>
      </c>
      <c r="D3" s="36" t="s">
        <v>132</v>
      </c>
    </row>
    <row r="4" spans="2:4">
      <c r="B4" s="40" t="s">
        <v>237</v>
      </c>
      <c r="C4" s="40" t="s">
        <v>238</v>
      </c>
      <c r="D4" s="40" t="s">
        <v>239</v>
      </c>
    </row>
    <row r="5" spans="2:4">
      <c r="B5" s="40" t="s">
        <v>240</v>
      </c>
      <c r="C5" s="40" t="s">
        <v>241</v>
      </c>
      <c r="D5" s="40" t="s">
        <v>242</v>
      </c>
    </row>
    <row r="6" spans="2:4">
      <c r="B6" s="40" t="s">
        <v>243</v>
      </c>
      <c r="C6" s="40" t="s">
        <v>244</v>
      </c>
      <c r="D6" s="40" t="s">
        <v>245</v>
      </c>
    </row>
    <row r="7" spans="2:4">
      <c r="B7" s="41" t="s">
        <v>246</v>
      </c>
      <c r="C7" s="41" t="s">
        <v>247</v>
      </c>
      <c r="D7" s="41" t="s">
        <v>248</v>
      </c>
    </row>
    <row r="8" spans="2:4">
      <c r="B8" s="41" t="s">
        <v>249</v>
      </c>
      <c r="C8" s="41" t="s">
        <v>250</v>
      </c>
      <c r="D8" s="41" t="s">
        <v>251</v>
      </c>
    </row>
    <row r="9" spans="2:4">
      <c r="B9" s="40" t="s">
        <v>252</v>
      </c>
      <c r="C9" s="40" t="s">
        <v>252</v>
      </c>
      <c r="D9" s="40" t="s">
        <v>253</v>
      </c>
    </row>
    <row r="10" spans="2:4">
      <c r="B10" s="40" t="s">
        <v>254</v>
      </c>
      <c r="C10" s="40" t="s">
        <v>255</v>
      </c>
      <c r="D10" s="40" t="s">
        <v>256</v>
      </c>
    </row>
    <row r="11" ht="14.4" spans="2:4">
      <c r="B11" s="42" t="s">
        <v>257</v>
      </c>
      <c r="C11" s="40" t="s">
        <v>258</v>
      </c>
      <c r="D11" s="40" t="s">
        <v>259</v>
      </c>
    </row>
    <row r="12" spans="2:4">
      <c r="B12" s="40" t="s">
        <v>260</v>
      </c>
      <c r="C12" s="40" t="s">
        <v>261</v>
      </c>
      <c r="D12" s="40" t="s">
        <v>262</v>
      </c>
    </row>
    <row r="13" spans="2:4">
      <c r="B13" s="40" t="s">
        <v>263</v>
      </c>
      <c r="C13" s="40" t="s">
        <v>264</v>
      </c>
      <c r="D13" s="40" t="s">
        <v>265</v>
      </c>
    </row>
    <row r="14" spans="2:4">
      <c r="B14" s="40" t="s">
        <v>266</v>
      </c>
      <c r="C14" s="40" t="s">
        <v>267</v>
      </c>
      <c r="D14" s="40" t="s">
        <v>268</v>
      </c>
    </row>
    <row r="15" spans="2:4">
      <c r="B15" s="40" t="s">
        <v>269</v>
      </c>
      <c r="C15" s="40" t="s">
        <v>270</v>
      </c>
      <c r="D15" s="40" t="s">
        <v>271</v>
      </c>
    </row>
    <row r="16" spans="2:4">
      <c r="B16" s="41" t="s">
        <v>272</v>
      </c>
      <c r="C16" s="41" t="s">
        <v>272</v>
      </c>
      <c r="D16" s="41" t="s">
        <v>273</v>
      </c>
    </row>
    <row r="17" spans="2:4">
      <c r="B17" s="40" t="s">
        <v>274</v>
      </c>
      <c r="C17" s="40" t="s">
        <v>275</v>
      </c>
      <c r="D17" s="40" t="s">
        <v>276</v>
      </c>
    </row>
    <row r="18" ht="14.4" spans="2:4">
      <c r="B18" s="41" t="s">
        <v>277</v>
      </c>
      <c r="C18" s="41" t="s">
        <v>278</v>
      </c>
      <c r="D18" s="41" t="s">
        <v>279</v>
      </c>
    </row>
    <row r="19" ht="14.4" spans="2:4">
      <c r="B19" s="41" t="s">
        <v>280</v>
      </c>
      <c r="C19" s="41" t="s">
        <v>281</v>
      </c>
      <c r="D19" s="41" t="s">
        <v>282</v>
      </c>
    </row>
    <row r="20" spans="2:4">
      <c r="B20" s="41" t="s">
        <v>283</v>
      </c>
      <c r="C20" s="41" t="s">
        <v>284</v>
      </c>
      <c r="D20" s="41" t="s">
        <v>285</v>
      </c>
    </row>
    <row r="21" spans="2:4">
      <c r="B21" s="40" t="s">
        <v>286</v>
      </c>
      <c r="C21" s="40" t="s">
        <v>287</v>
      </c>
      <c r="D21" s="40" t="s">
        <v>288</v>
      </c>
    </row>
  </sheetData>
  <pageMargins left="0.7" right="0.7" top="0.75" bottom="0.75" header="0.3" footer="0.3"/>
  <pageSetup paperSize="9" scale="82"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B2:C19"/>
  <sheetViews>
    <sheetView showGridLines="0" view="pageBreakPreview" zoomScaleNormal="100" zoomScaleSheetLayoutView="100" workbookViewId="0">
      <selection activeCell="E13" sqref="E13"/>
    </sheetView>
  </sheetViews>
  <sheetFormatPr defaultColWidth="9" defaultRowHeight="13.2" outlineLevelCol="2"/>
  <cols>
    <col min="1" max="1" width="8.88888888888889" style="23"/>
    <col min="2" max="3" width="13.8888888888889" style="23" customWidth="1"/>
    <col min="4" max="16384" width="8.88888888888889" style="23"/>
  </cols>
  <sheetData>
    <row r="2" spans="2:2">
      <c r="B2" s="38" t="s">
        <v>289</v>
      </c>
    </row>
    <row r="3" spans="2:3">
      <c r="B3" s="36" t="s">
        <v>130</v>
      </c>
      <c r="C3" s="39" t="s">
        <v>131</v>
      </c>
    </row>
    <row r="4" spans="2:3">
      <c r="B4" s="40"/>
      <c r="C4" s="37" t="s">
        <v>290</v>
      </c>
    </row>
    <row r="5" spans="2:3">
      <c r="B5" s="40"/>
      <c r="C5" s="37" t="s">
        <v>291</v>
      </c>
    </row>
    <row r="6" spans="2:3">
      <c r="B6" s="40"/>
      <c r="C6" s="37" t="s">
        <v>292</v>
      </c>
    </row>
    <row r="7" spans="2:3">
      <c r="B7" s="40"/>
      <c r="C7" s="37" t="s">
        <v>293</v>
      </c>
    </row>
    <row r="8" spans="2:3">
      <c r="B8" s="40"/>
      <c r="C8" s="37" t="s">
        <v>294</v>
      </c>
    </row>
    <row r="9" spans="2:3">
      <c r="B9" s="40"/>
      <c r="C9" s="37" t="s">
        <v>295</v>
      </c>
    </row>
    <row r="10" spans="2:3">
      <c r="B10" s="40"/>
      <c r="C10" s="37" t="s">
        <v>296</v>
      </c>
    </row>
    <row r="11" spans="2:3">
      <c r="B11" s="40"/>
      <c r="C11" s="37" t="s">
        <v>297</v>
      </c>
    </row>
    <row r="12" spans="2:3">
      <c r="B12" s="40"/>
      <c r="C12" s="37" t="s">
        <v>298</v>
      </c>
    </row>
    <row r="13" spans="2:3">
      <c r="B13" s="40"/>
      <c r="C13" s="37" t="s">
        <v>299</v>
      </c>
    </row>
    <row r="14" spans="2:3">
      <c r="B14" s="40"/>
      <c r="C14" s="37" t="s">
        <v>300</v>
      </c>
    </row>
    <row r="15" spans="2:3">
      <c r="B15" s="40"/>
      <c r="C15" s="37" t="s">
        <v>301</v>
      </c>
    </row>
    <row r="16" spans="2:3">
      <c r="B16" s="40"/>
      <c r="C16" s="37" t="s">
        <v>302</v>
      </c>
    </row>
    <row r="17" spans="2:3">
      <c r="B17" s="40"/>
      <c r="C17" s="37" t="s">
        <v>303</v>
      </c>
    </row>
    <row r="18" spans="2:3">
      <c r="B18" s="40"/>
      <c r="C18" s="37" t="s">
        <v>304</v>
      </c>
    </row>
    <row r="19" spans="2:3">
      <c r="B19" s="40"/>
      <c r="C19" s="37" t="s">
        <v>305</v>
      </c>
    </row>
  </sheetData>
  <pageMargins left="0.7" right="0.7" top="0.75" bottom="0.75" header="0.3" footer="0.3"/>
  <pageSetup paperSize="9" scale="76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B2:C6"/>
  <sheetViews>
    <sheetView showGridLines="0" view="pageBreakPreview" zoomScaleNormal="100" zoomScaleSheetLayoutView="100" workbookViewId="0">
      <selection activeCell="A1" sqref="A1"/>
    </sheetView>
  </sheetViews>
  <sheetFormatPr defaultColWidth="9" defaultRowHeight="13.2" outlineLevelRow="5" outlineLevelCol="2"/>
  <cols>
    <col min="1" max="2" width="8.88888888888889" style="23"/>
    <col min="3" max="3" width="50" style="23" customWidth="1"/>
    <col min="4" max="16384" width="8.88888888888889" style="23"/>
  </cols>
  <sheetData>
    <row r="2" spans="2:3">
      <c r="B2" s="34" t="s">
        <v>306</v>
      </c>
      <c r="C2" s="35"/>
    </row>
    <row r="3" spans="2:3">
      <c r="B3" s="36" t="s">
        <v>307</v>
      </c>
      <c r="C3" s="37" t="s">
        <v>308</v>
      </c>
    </row>
    <row r="4" spans="2:3">
      <c r="B4" s="36" t="s">
        <v>309</v>
      </c>
      <c r="C4" s="37" t="s">
        <v>310</v>
      </c>
    </row>
    <row r="5" spans="2:3">
      <c r="B5" s="36" t="s">
        <v>311</v>
      </c>
      <c r="C5" s="37" t="s">
        <v>312</v>
      </c>
    </row>
    <row r="6" spans="2:3">
      <c r="B6" s="36" t="s">
        <v>313</v>
      </c>
      <c r="C6" s="37" t="s">
        <v>314</v>
      </c>
    </row>
  </sheetData>
  <pageMargins left="0.7" right="0.7" top="0.75" bottom="0.75" header="0.3" footer="0.3"/>
  <pageSetup paperSize="9" scale="68"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B2:H63"/>
  <sheetViews>
    <sheetView showGridLines="0" topLeftCell="A54" workbookViewId="0">
      <selection activeCell="H87" sqref="H87"/>
    </sheetView>
  </sheetViews>
  <sheetFormatPr defaultColWidth="9" defaultRowHeight="13.2" outlineLevelCol="7"/>
  <cols>
    <col min="1" max="16384" width="8.88888888888889" style="23"/>
  </cols>
  <sheetData>
    <row r="2" spans="2:2">
      <c r="B2" s="32" t="s">
        <v>315</v>
      </c>
    </row>
    <row r="41" spans="6:8">
      <c r="F41" s="33" t="s">
        <v>316</v>
      </c>
      <c r="G41" s="33"/>
      <c r="H41" s="33"/>
    </row>
    <row r="42" spans="6:8">
      <c r="F42" s="33"/>
      <c r="G42" s="33"/>
      <c r="H42" s="33"/>
    </row>
    <row r="43" spans="6:8">
      <c r="F43" s="33"/>
      <c r="G43" s="33"/>
      <c r="H43" s="33"/>
    </row>
    <row r="44" spans="6:8">
      <c r="F44" s="33"/>
      <c r="G44" s="33"/>
      <c r="H44" s="33"/>
    </row>
    <row r="45" spans="6:8">
      <c r="F45" s="33"/>
      <c r="G45" s="33"/>
      <c r="H45" s="33"/>
    </row>
    <row r="46" spans="6:8">
      <c r="F46" s="33"/>
      <c r="G46" s="33"/>
      <c r="H46" s="33"/>
    </row>
    <row r="47" spans="6:8">
      <c r="F47" s="33" t="s">
        <v>317</v>
      </c>
      <c r="G47" s="33"/>
      <c r="H47" s="33"/>
    </row>
    <row r="48" spans="6:8">
      <c r="F48" s="33"/>
      <c r="G48" s="33"/>
      <c r="H48" s="33"/>
    </row>
    <row r="49" spans="6:8">
      <c r="F49" s="33"/>
      <c r="G49" s="33"/>
      <c r="H49" s="33"/>
    </row>
    <row r="50" spans="6:8">
      <c r="F50" s="33"/>
      <c r="G50" s="33"/>
      <c r="H50" s="33"/>
    </row>
    <row r="51" spans="6:8">
      <c r="F51" s="33"/>
      <c r="G51" s="33"/>
      <c r="H51" s="33"/>
    </row>
    <row r="52" spans="6:8">
      <c r="F52" s="33" t="s">
        <v>318</v>
      </c>
      <c r="G52" s="33"/>
      <c r="H52" s="33"/>
    </row>
    <row r="53" spans="6:8">
      <c r="F53" s="33"/>
      <c r="G53" s="33"/>
      <c r="H53" s="33"/>
    </row>
    <row r="54" ht="12.6" customHeight="1" spans="6:8">
      <c r="F54" s="33"/>
      <c r="G54" s="33"/>
      <c r="H54" s="33"/>
    </row>
    <row r="55" spans="6:8">
      <c r="F55" s="33"/>
      <c r="G55" s="33"/>
      <c r="H55" s="33"/>
    </row>
    <row r="56" spans="6:8">
      <c r="F56" s="33"/>
      <c r="G56" s="33"/>
      <c r="H56" s="33"/>
    </row>
    <row r="57" spans="6:8">
      <c r="F57" s="33"/>
      <c r="G57" s="33"/>
      <c r="H57" s="33"/>
    </row>
    <row r="58" spans="6:8">
      <c r="F58" s="33" t="s">
        <v>319</v>
      </c>
      <c r="G58" s="33"/>
      <c r="H58" s="33"/>
    </row>
    <row r="63" ht="14.4" spans="4:4">
      <c r="D63"/>
    </row>
  </sheetData>
  <pageMargins left="0.7" right="0.7" top="0.75" bottom="0.75" header="0.3" footer="0.3"/>
  <pageSetup paperSize="9" orientation="portrait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B2:H43"/>
  <sheetViews>
    <sheetView zoomScale="175" zoomScaleNormal="175" topLeftCell="A19" workbookViewId="0">
      <selection activeCell="D19" sqref="D19"/>
    </sheetView>
  </sheetViews>
  <sheetFormatPr defaultColWidth="9" defaultRowHeight="14.4" outlineLevelCol="7"/>
  <cols>
    <col min="1" max="1" width="8.88888888888889" style="30"/>
    <col min="2" max="2" width="11.6666666666667" style="30" customWidth="1"/>
    <col min="3" max="16384" width="8.88888888888889" style="30"/>
  </cols>
  <sheetData>
    <row r="2" spans="2:2">
      <c r="B2" s="30" t="s">
        <v>320</v>
      </c>
    </row>
    <row r="3" spans="2:2">
      <c r="B3" s="30" t="s">
        <v>321</v>
      </c>
    </row>
    <row r="5" spans="2:2">
      <c r="B5" s="30" t="s">
        <v>322</v>
      </c>
    </row>
    <row r="6" spans="2:2">
      <c r="B6" s="30" t="s">
        <v>323</v>
      </c>
    </row>
    <row r="7" spans="2:2">
      <c r="B7" s="30" t="s">
        <v>324</v>
      </c>
    </row>
    <row r="9" spans="2:2">
      <c r="B9" s="30" t="s">
        <v>325</v>
      </c>
    </row>
    <row r="10" spans="2:8">
      <c r="B10" s="30" t="s">
        <v>326</v>
      </c>
      <c r="C10" s="30" t="s">
        <v>327</v>
      </c>
      <c r="H10" s="30" t="s">
        <v>328</v>
      </c>
    </row>
    <row r="11" spans="2:3">
      <c r="B11" s="30" t="s">
        <v>329</v>
      </c>
      <c r="C11" s="30" t="s">
        <v>330</v>
      </c>
    </row>
    <row r="12" spans="2:2">
      <c r="B12" s="30" t="s">
        <v>331</v>
      </c>
    </row>
    <row r="15" spans="2:2">
      <c r="B15" s="30" t="s">
        <v>332</v>
      </c>
    </row>
    <row r="16" spans="2:2">
      <c r="B16" s="30" t="s">
        <v>333</v>
      </c>
    </row>
    <row r="17" spans="2:2">
      <c r="B17" s="30" t="s">
        <v>334</v>
      </c>
    </row>
    <row r="18" spans="2:2">
      <c r="B18" s="30" t="s">
        <v>335</v>
      </c>
    </row>
    <row r="19" spans="2:2">
      <c r="B19" s="30" t="s">
        <v>336</v>
      </c>
    </row>
    <row r="21" spans="2:2">
      <c r="B21" s="30" t="s">
        <v>337</v>
      </c>
    </row>
    <row r="22" spans="2:2">
      <c r="B22" s="30" t="s">
        <v>323</v>
      </c>
    </row>
    <row r="23" spans="2:2">
      <c r="B23" s="30" t="s">
        <v>324</v>
      </c>
    </row>
    <row r="24" spans="2:2">
      <c r="B24" s="30" t="s">
        <v>338</v>
      </c>
    </row>
    <row r="25" spans="2:2">
      <c r="B25" s="30" t="s">
        <v>339</v>
      </c>
    </row>
    <row r="27" spans="2:3">
      <c r="B27" s="30" t="s">
        <v>340</v>
      </c>
      <c r="C27" s="30" t="s">
        <v>341</v>
      </c>
    </row>
    <row r="28" spans="2:3">
      <c r="B28" s="30" t="s">
        <v>342</v>
      </c>
      <c r="C28" s="30" t="s">
        <v>343</v>
      </c>
    </row>
    <row r="29" spans="2:3">
      <c r="B29" s="30" t="s">
        <v>344</v>
      </c>
      <c r="C29" s="30" t="s">
        <v>345</v>
      </c>
    </row>
    <row r="32" spans="2:2">
      <c r="B32" s="30" t="s">
        <v>346</v>
      </c>
    </row>
    <row r="33" spans="2:2">
      <c r="B33" s="31" t="s">
        <v>347</v>
      </c>
    </row>
    <row r="34" spans="2:2">
      <c r="B34" s="31" t="s">
        <v>348</v>
      </c>
    </row>
    <row r="35" spans="2:2">
      <c r="B35" s="31" t="s">
        <v>349</v>
      </c>
    </row>
    <row r="38" spans="2:2">
      <c r="B38" s="30" t="s">
        <v>350</v>
      </c>
    </row>
    <row r="41" spans="2:2">
      <c r="B41" s="30" t="s">
        <v>351</v>
      </c>
    </row>
    <row r="42" spans="2:2">
      <c r="B42" s="30" t="s">
        <v>352</v>
      </c>
    </row>
    <row r="43" spans="2:2">
      <c r="B43" s="30" t="s">
        <v>353</v>
      </c>
    </row>
  </sheetData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B2:D22"/>
  <sheetViews>
    <sheetView showGridLines="0" zoomScale="145" zoomScaleNormal="145" topLeftCell="A10" workbookViewId="0">
      <selection activeCell="A1" sqref="A1"/>
    </sheetView>
  </sheetViews>
  <sheetFormatPr defaultColWidth="9" defaultRowHeight="13.2" outlineLevelCol="3"/>
  <cols>
    <col min="1" max="1" width="8.88888888888889" style="23"/>
    <col min="2" max="2" width="11" style="23" customWidth="1"/>
    <col min="3" max="3" width="37.5555555555556" style="23" customWidth="1"/>
    <col min="4" max="4" width="29.6666666666667" style="23" customWidth="1"/>
    <col min="5" max="5" width="28.2222222222222" style="23" customWidth="1"/>
    <col min="6" max="16384" width="8.88888888888889" style="23"/>
  </cols>
  <sheetData>
    <row r="2" spans="2:2">
      <c r="B2" s="23" t="s">
        <v>354</v>
      </c>
    </row>
    <row r="3" spans="2:4">
      <c r="B3" s="17" t="s">
        <v>355</v>
      </c>
      <c r="C3" s="17" t="s">
        <v>356</v>
      </c>
      <c r="D3" s="24"/>
    </row>
    <row r="4" ht="66" spans="2:3">
      <c r="B4" s="19" t="s">
        <v>357</v>
      </c>
      <c r="C4" s="25" t="s">
        <v>358</v>
      </c>
    </row>
    <row r="5" ht="26.4" spans="2:3">
      <c r="B5" s="19" t="s">
        <v>359</v>
      </c>
      <c r="C5" s="26" t="s">
        <v>360</v>
      </c>
    </row>
    <row r="7" spans="2:2">
      <c r="B7" s="23" t="s">
        <v>361</v>
      </c>
    </row>
    <row r="8" spans="2:4">
      <c r="B8" s="17" t="s">
        <v>355</v>
      </c>
      <c r="C8" s="17" t="s">
        <v>362</v>
      </c>
      <c r="D8" s="17" t="s">
        <v>363</v>
      </c>
    </row>
    <row r="9" spans="2:4">
      <c r="B9" s="21" t="s">
        <v>357</v>
      </c>
      <c r="C9" s="27" t="s">
        <v>364</v>
      </c>
      <c r="D9" s="28"/>
    </row>
    <row r="10" spans="2:4">
      <c r="B10" s="21" t="s">
        <v>359</v>
      </c>
      <c r="C10" s="27" t="s">
        <v>365</v>
      </c>
      <c r="D10" s="29"/>
    </row>
    <row r="12" spans="2:2">
      <c r="B12" s="23" t="s">
        <v>366</v>
      </c>
    </row>
    <row r="13" spans="2:2">
      <c r="B13" s="23" t="s">
        <v>367</v>
      </c>
    </row>
    <row r="14" spans="2:2">
      <c r="B14" s="23" t="s">
        <v>368</v>
      </c>
    </row>
    <row r="15" spans="2:2">
      <c r="B15" s="23" t="s">
        <v>369</v>
      </c>
    </row>
    <row r="17" spans="2:2">
      <c r="B17" s="23" t="s">
        <v>370</v>
      </c>
    </row>
    <row r="18" spans="2:3">
      <c r="B18" s="23" t="s">
        <v>371</v>
      </c>
      <c r="C18" s="23" t="s">
        <v>364</v>
      </c>
    </row>
    <row r="19" spans="2:3">
      <c r="B19" s="23" t="s">
        <v>372</v>
      </c>
      <c r="C19" s="23" t="s">
        <v>365</v>
      </c>
    </row>
    <row r="21" spans="2:3">
      <c r="B21" s="23" t="s">
        <v>373</v>
      </c>
      <c r="C21" s="23" t="s">
        <v>364</v>
      </c>
    </row>
    <row r="22" spans="2:3">
      <c r="B22" s="23" t="s">
        <v>374</v>
      </c>
      <c r="C22" s="23" t="s">
        <v>365</v>
      </c>
    </row>
  </sheetData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/>
  <dimension ref="B2:C72"/>
  <sheetViews>
    <sheetView zoomScale="160" zoomScaleNormal="160" workbookViewId="0">
      <selection activeCell="B1" sqref="B$1:C$1048576"/>
    </sheetView>
  </sheetViews>
  <sheetFormatPr defaultColWidth="9" defaultRowHeight="14.4" outlineLevelCol="2"/>
  <cols>
    <col min="2" max="2" width="16" customWidth="1"/>
    <col min="3" max="3" width="17.1111111111111" customWidth="1"/>
  </cols>
  <sheetData>
    <row r="2" spans="2:3">
      <c r="B2" s="17" t="s">
        <v>357</v>
      </c>
      <c r="C2" s="17" t="s">
        <v>359</v>
      </c>
    </row>
    <row r="3" spans="2:3">
      <c r="B3" s="18" t="str">
        <f>"-aru⇛-eru"</f>
        <v>-aru⇛-eru</v>
      </c>
      <c r="C3" s="18"/>
    </row>
    <row r="4" spans="2:3">
      <c r="B4" s="19" t="s">
        <v>375</v>
      </c>
      <c r="C4" s="19" t="s">
        <v>376</v>
      </c>
    </row>
    <row r="5" spans="2:3">
      <c r="B5" s="19" t="s">
        <v>377</v>
      </c>
      <c r="C5" s="19" t="s">
        <v>378</v>
      </c>
    </row>
    <row r="6" spans="2:3">
      <c r="B6" s="19" t="s">
        <v>379</v>
      </c>
      <c r="C6" s="19" t="s">
        <v>380</v>
      </c>
    </row>
    <row r="7" spans="2:3">
      <c r="B7" s="19" t="s">
        <v>381</v>
      </c>
      <c r="C7" s="19" t="s">
        <v>382</v>
      </c>
    </row>
    <row r="8" spans="2:3">
      <c r="B8" s="19" t="s">
        <v>383</v>
      </c>
      <c r="C8" s="19" t="s">
        <v>384</v>
      </c>
    </row>
    <row r="9" spans="2:3">
      <c r="B9" s="19" t="s">
        <v>385</v>
      </c>
      <c r="C9" s="19" t="s">
        <v>386</v>
      </c>
    </row>
    <row r="10" spans="2:3">
      <c r="B10" s="19" t="s">
        <v>387</v>
      </c>
      <c r="C10" s="19" t="s">
        <v>388</v>
      </c>
    </row>
    <row r="11" spans="2:3">
      <c r="B11" s="19" t="s">
        <v>389</v>
      </c>
      <c r="C11" s="19" t="s">
        <v>390</v>
      </c>
    </row>
    <row r="12" spans="2:3">
      <c r="B12" s="19" t="s">
        <v>391</v>
      </c>
      <c r="C12" s="19" t="s">
        <v>392</v>
      </c>
    </row>
    <row r="13" spans="2:3">
      <c r="B13" s="19" t="s">
        <v>393</v>
      </c>
      <c r="C13" s="19" t="s">
        <v>394</v>
      </c>
    </row>
    <row r="14" spans="2:3">
      <c r="B14" s="19" t="s">
        <v>395</v>
      </c>
      <c r="C14" s="19" t="s">
        <v>396</v>
      </c>
    </row>
    <row r="15" spans="2:3">
      <c r="B15" s="19" t="s">
        <v>397</v>
      </c>
      <c r="C15" s="19" t="s">
        <v>398</v>
      </c>
    </row>
    <row r="16" spans="2:3">
      <c r="B16" s="19" t="s">
        <v>399</v>
      </c>
      <c r="C16" s="19" t="s">
        <v>400</v>
      </c>
    </row>
    <row r="17" spans="2:3">
      <c r="B17" s="19" t="s">
        <v>401</v>
      </c>
      <c r="C17" s="19" t="s">
        <v>402</v>
      </c>
    </row>
    <row r="18" spans="2:3">
      <c r="B18" s="19" t="s">
        <v>403</v>
      </c>
      <c r="C18" s="19" t="s">
        <v>404</v>
      </c>
    </row>
    <row r="19" spans="2:3">
      <c r="B19" s="19" t="s">
        <v>405</v>
      </c>
      <c r="C19" s="19" t="s">
        <v>406</v>
      </c>
    </row>
    <row r="20" spans="2:3">
      <c r="B20" s="20" t="str">
        <f>"-reru⇔-su"</f>
        <v>-reru⇔-su</v>
      </c>
      <c r="C20" s="20"/>
    </row>
    <row r="21" spans="2:3">
      <c r="B21" s="19" t="s">
        <v>407</v>
      </c>
      <c r="C21" s="19" t="s">
        <v>408</v>
      </c>
    </row>
    <row r="22" spans="2:3">
      <c r="B22" s="19" t="s">
        <v>409</v>
      </c>
      <c r="C22" s="19" t="s">
        <v>410</v>
      </c>
    </row>
    <row r="23" spans="2:3">
      <c r="B23" s="19" t="s">
        <v>411</v>
      </c>
      <c r="C23" s="19" t="s">
        <v>412</v>
      </c>
    </row>
    <row r="24" spans="2:3">
      <c r="B24" s="19" t="s">
        <v>413</v>
      </c>
      <c r="C24" s="19" t="s">
        <v>414</v>
      </c>
    </row>
    <row r="25" spans="2:3">
      <c r="B25" s="19" t="s">
        <v>415</v>
      </c>
      <c r="C25" s="19" t="s">
        <v>416</v>
      </c>
    </row>
    <row r="26" spans="2:3">
      <c r="B26" s="19" t="s">
        <v>417</v>
      </c>
      <c r="C26" s="19" t="s">
        <v>418</v>
      </c>
    </row>
    <row r="27" spans="2:3">
      <c r="B27" s="19" t="s">
        <v>419</v>
      </c>
      <c r="C27" s="19" t="s">
        <v>420</v>
      </c>
    </row>
    <row r="28" spans="2:3">
      <c r="B28" s="19" t="s">
        <v>421</v>
      </c>
      <c r="C28" s="19" t="s">
        <v>422</v>
      </c>
    </row>
    <row r="29" spans="2:3">
      <c r="B29" s="20" t="str">
        <f>"-reru⇔-ru"</f>
        <v>-reru⇔-ru</v>
      </c>
      <c r="C29" s="20"/>
    </row>
    <row r="30" spans="2:3">
      <c r="B30" s="19" t="s">
        <v>423</v>
      </c>
      <c r="C30" s="19" t="s">
        <v>424</v>
      </c>
    </row>
    <row r="31" spans="2:3">
      <c r="B31" s="19" t="s">
        <v>425</v>
      </c>
      <c r="C31" s="19" t="s">
        <v>426</v>
      </c>
    </row>
    <row r="32" spans="2:3">
      <c r="B32" s="19" t="s">
        <v>427</v>
      </c>
      <c r="C32" s="19" t="s">
        <v>428</v>
      </c>
    </row>
    <row r="33" spans="2:3">
      <c r="B33" s="19" t="s">
        <v>429</v>
      </c>
      <c r="C33" s="19" t="s">
        <v>430</v>
      </c>
    </row>
    <row r="34" spans="2:3">
      <c r="B34" s="19" t="s">
        <v>431</v>
      </c>
      <c r="C34" s="19" t="s">
        <v>432</v>
      </c>
    </row>
    <row r="35" spans="2:3">
      <c r="B35" s="20" t="str">
        <f>"-ru⇔-su"</f>
        <v>-ru⇔-su</v>
      </c>
      <c r="C35" s="20"/>
    </row>
    <row r="36" spans="2:3">
      <c r="B36" s="21" t="s">
        <v>433</v>
      </c>
      <c r="C36" s="21" t="s">
        <v>434</v>
      </c>
    </row>
    <row r="37" spans="2:3">
      <c r="B37" s="21" t="s">
        <v>435</v>
      </c>
      <c r="C37" s="21" t="s">
        <v>436</v>
      </c>
    </row>
    <row r="38" spans="2:3">
      <c r="B38" s="21" t="s">
        <v>437</v>
      </c>
      <c r="C38" s="21" t="s">
        <v>438</v>
      </c>
    </row>
    <row r="39" spans="2:3">
      <c r="B39" s="21" t="s">
        <v>439</v>
      </c>
      <c r="C39" s="21" t="s">
        <v>440</v>
      </c>
    </row>
    <row r="40" spans="2:3">
      <c r="B40" s="21" t="s">
        <v>441</v>
      </c>
      <c r="C40" s="21" t="s">
        <v>442</v>
      </c>
    </row>
    <row r="41" spans="2:3">
      <c r="B41" s="21" t="s">
        <v>443</v>
      </c>
      <c r="C41" s="21" t="s">
        <v>444</v>
      </c>
    </row>
    <row r="42" spans="2:3">
      <c r="B42" s="21" t="s">
        <v>445</v>
      </c>
      <c r="C42" s="21" t="s">
        <v>446</v>
      </c>
    </row>
    <row r="43" spans="2:3">
      <c r="B43" s="21" t="s">
        <v>447</v>
      </c>
      <c r="C43" s="21" t="s">
        <v>448</v>
      </c>
    </row>
    <row r="44" spans="2:3">
      <c r="B44" s="22" t="str">
        <f>"-eru⇔-asu"</f>
        <v>-eru⇔-asu</v>
      </c>
      <c r="C44" s="22"/>
    </row>
    <row r="45" spans="2:3">
      <c r="B45" s="21" t="s">
        <v>449</v>
      </c>
      <c r="C45" s="21" t="s">
        <v>450</v>
      </c>
    </row>
    <row r="46" spans="2:3">
      <c r="B46" s="21" t="s">
        <v>451</v>
      </c>
      <c r="C46" s="21" t="s">
        <v>452</v>
      </c>
    </row>
    <row r="47" spans="2:3">
      <c r="B47" s="19" t="s">
        <v>453</v>
      </c>
      <c r="C47" s="19" t="s">
        <v>454</v>
      </c>
    </row>
    <row r="48" spans="2:3">
      <c r="B48" s="21" t="s">
        <v>455</v>
      </c>
      <c r="C48" s="21" t="s">
        <v>456</v>
      </c>
    </row>
    <row r="49" spans="2:3">
      <c r="B49" s="21" t="s">
        <v>457</v>
      </c>
      <c r="C49" s="21" t="s">
        <v>458</v>
      </c>
    </row>
    <row r="50" spans="2:3">
      <c r="B50" s="21" t="s">
        <v>459</v>
      </c>
      <c r="C50" s="21" t="s">
        <v>460</v>
      </c>
    </row>
    <row r="51" spans="2:3">
      <c r="B51" s="21" t="s">
        <v>461</v>
      </c>
      <c r="C51" s="21" t="s">
        <v>462</v>
      </c>
    </row>
    <row r="52" spans="2:3">
      <c r="B52" s="22" t="str">
        <f>"-u⇔-asu"</f>
        <v>-u⇔-asu</v>
      </c>
      <c r="C52" s="22"/>
    </row>
    <row r="53" spans="2:3">
      <c r="B53" s="21" t="s">
        <v>463</v>
      </c>
      <c r="C53" s="21" t="s">
        <v>464</v>
      </c>
    </row>
    <row r="54" spans="2:3">
      <c r="B54" s="21" t="s">
        <v>465</v>
      </c>
      <c r="C54" s="21" t="s">
        <v>466</v>
      </c>
    </row>
    <row r="55" spans="2:3">
      <c r="B55" s="21" t="s">
        <v>467</v>
      </c>
      <c r="C55" s="21" t="s">
        <v>468</v>
      </c>
    </row>
    <row r="56" spans="2:3">
      <c r="B56" s="21" t="s">
        <v>469</v>
      </c>
      <c r="C56" s="21" t="s">
        <v>470</v>
      </c>
    </row>
    <row r="57" spans="2:3">
      <c r="B57" s="21" t="s">
        <v>471</v>
      </c>
      <c r="C57" s="21" t="s">
        <v>472</v>
      </c>
    </row>
    <row r="58" spans="2:3">
      <c r="B58" s="21" t="s">
        <v>473</v>
      </c>
      <c r="C58" s="21" t="s">
        <v>474</v>
      </c>
    </row>
    <row r="59" spans="2:3">
      <c r="B59" s="21" t="s">
        <v>475</v>
      </c>
      <c r="C59" s="21" t="s">
        <v>476</v>
      </c>
    </row>
    <row r="60" spans="2:3">
      <c r="B60" s="22" t="str">
        <f>"-iru⇔-osu"</f>
        <v>-iru⇔-osu</v>
      </c>
      <c r="C60" s="22"/>
    </row>
    <row r="61" spans="2:3">
      <c r="B61" s="21" t="s">
        <v>477</v>
      </c>
      <c r="C61" s="21" t="s">
        <v>478</v>
      </c>
    </row>
    <row r="62" spans="2:3">
      <c r="B62" s="21" t="s">
        <v>479</v>
      </c>
      <c r="C62" s="21" t="s">
        <v>480</v>
      </c>
    </row>
    <row r="63" spans="2:3">
      <c r="B63" s="21" t="s">
        <v>481</v>
      </c>
      <c r="C63" s="21" t="s">
        <v>482</v>
      </c>
    </row>
    <row r="64" spans="2:3">
      <c r="B64" s="21" t="s">
        <v>483</v>
      </c>
      <c r="C64" s="21" t="s">
        <v>484</v>
      </c>
    </row>
    <row r="65" spans="2:3">
      <c r="B65" s="21" t="s">
        <v>485</v>
      </c>
      <c r="C65" s="21" t="s">
        <v>486</v>
      </c>
    </row>
    <row r="66" spans="2:3">
      <c r="B66" s="22" t="s">
        <v>487</v>
      </c>
      <c r="C66" s="22"/>
    </row>
    <row r="67" spans="2:3">
      <c r="B67" s="21" t="s">
        <v>488</v>
      </c>
      <c r="C67" s="21" t="s">
        <v>489</v>
      </c>
    </row>
    <row r="68" spans="2:3">
      <c r="B68" s="21" t="s">
        <v>490</v>
      </c>
      <c r="C68" s="21" t="s">
        <v>491</v>
      </c>
    </row>
    <row r="69" spans="2:3">
      <c r="B69" s="21" t="s">
        <v>492</v>
      </c>
      <c r="C69" s="21" t="s">
        <v>493</v>
      </c>
    </row>
    <row r="70" spans="2:3">
      <c r="B70" s="21" t="s">
        <v>494</v>
      </c>
      <c r="C70" s="21" t="s">
        <v>495</v>
      </c>
    </row>
    <row r="71" spans="2:3">
      <c r="B71" s="21" t="s">
        <v>496</v>
      </c>
      <c r="C71" s="21" t="s">
        <v>497</v>
      </c>
    </row>
    <row r="72" spans="2:3">
      <c r="B72" s="21" t="s">
        <v>498</v>
      </c>
      <c r="C72" s="21" t="s">
        <v>499</v>
      </c>
    </row>
  </sheetData>
  <mergeCells count="8">
    <mergeCell ref="B3:C3"/>
    <mergeCell ref="B20:C20"/>
    <mergeCell ref="B29:C29"/>
    <mergeCell ref="B35:C35"/>
    <mergeCell ref="B44:C44"/>
    <mergeCell ref="B52:C52"/>
    <mergeCell ref="B60:C60"/>
    <mergeCell ref="B66:C66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/>
  <dimension ref="B28:B43"/>
  <sheetViews>
    <sheetView zoomScale="115" zoomScaleNormal="115" topLeftCell="C4" workbookViewId="0">
      <selection activeCell="H25" sqref="H25"/>
    </sheetView>
  </sheetViews>
  <sheetFormatPr defaultColWidth="9" defaultRowHeight="14.4" outlineLevelCol="1"/>
  <sheetData>
    <row r="28" spans="2:2">
      <c r="B28" t="str">
        <f>"-iru"</f>
        <v>-iru</v>
      </c>
    </row>
    <row r="29" spans="2:2">
      <c r="B29" t="s">
        <v>500</v>
      </c>
    </row>
    <row r="30" spans="2:2">
      <c r="B30" t="s">
        <v>501</v>
      </c>
    </row>
    <row r="31" spans="2:2">
      <c r="B31" t="s">
        <v>430</v>
      </c>
    </row>
    <row r="32" spans="2:2">
      <c r="B32" t="s">
        <v>502</v>
      </c>
    </row>
    <row r="33" spans="2:2">
      <c r="B33" t="s">
        <v>503</v>
      </c>
    </row>
    <row r="34" spans="2:2">
      <c r="B34" t="s">
        <v>504</v>
      </c>
    </row>
    <row r="35" spans="2:2">
      <c r="B35" t="s">
        <v>505</v>
      </c>
    </row>
    <row r="36" spans="2:2">
      <c r="B36" t="s">
        <v>506</v>
      </c>
    </row>
    <row r="37" spans="2:2">
      <c r="B37" t="s">
        <v>507</v>
      </c>
    </row>
    <row r="38" spans="2:2">
      <c r="B38" t="s">
        <v>508</v>
      </c>
    </row>
    <row r="39" spans="2:2">
      <c r="B39" t="s">
        <v>509</v>
      </c>
    </row>
    <row r="40" spans="2:2">
      <c r="B40" t="s">
        <v>510</v>
      </c>
    </row>
    <row r="41" spans="2:2">
      <c r="B41" t="s">
        <v>511</v>
      </c>
    </row>
    <row r="42" spans="2:2">
      <c r="B42" t="s">
        <v>512</v>
      </c>
    </row>
    <row r="43" spans="2:2">
      <c r="B43" t="s">
        <v>513</v>
      </c>
    </row>
  </sheetData>
  <pageMargins left="0.7" right="0.7" top="0.75" bottom="0.75" header="0.3" footer="0.3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/>
  <dimension ref="A1"/>
  <sheetViews>
    <sheetView topLeftCell="B1" workbookViewId="0">
      <selection activeCell="Z8" sqref="Z8"/>
    </sheetView>
  </sheetViews>
  <sheetFormatPr defaultColWidth="9" defaultRowHeight="14.4"/>
  <sheetData/>
  <pageMargins left="0.7" right="0.7" top="0.75" bottom="0.75" header="0.3" footer="0.3"/>
  <pageSetup paperSize="9" orientation="portrait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B2:E19"/>
  <sheetViews>
    <sheetView tabSelected="1" workbookViewId="0">
      <selection activeCell="C2" sqref="C2"/>
    </sheetView>
  </sheetViews>
  <sheetFormatPr defaultColWidth="9" defaultRowHeight="15.6" outlineLevelCol="4"/>
  <cols>
    <col min="1" max="1" width="8.88888888888889" style="1"/>
    <col min="2" max="2" width="36.4444444444444" style="1" customWidth="1"/>
    <col min="3" max="3" width="72.7777777777778" style="1" customWidth="1"/>
    <col min="4" max="4" width="40.1111111111111" style="1" customWidth="1"/>
    <col min="5" max="5" width="34.2222222222222" style="1" customWidth="1"/>
    <col min="6" max="16384" width="8.88888888888889" style="1"/>
  </cols>
  <sheetData>
    <row r="2" spans="2:5">
      <c r="B2" s="2" t="s">
        <v>514</v>
      </c>
      <c r="C2" s="2"/>
      <c r="D2" s="2"/>
      <c r="E2" s="2"/>
    </row>
    <row r="3" spans="2:5">
      <c r="B3" s="2"/>
      <c r="C3" s="2"/>
      <c r="D3" s="2"/>
      <c r="E3" s="2"/>
    </row>
    <row r="4" spans="2:5">
      <c r="B4" s="3" t="s">
        <v>515</v>
      </c>
      <c r="C4" s="3" t="s">
        <v>516</v>
      </c>
      <c r="D4" s="3" t="s">
        <v>363</v>
      </c>
      <c r="E4" s="3" t="s">
        <v>517</v>
      </c>
    </row>
    <row r="5" spans="2:5">
      <c r="B5" s="4" t="s">
        <v>518</v>
      </c>
      <c r="C5" s="5" t="s">
        <v>519</v>
      </c>
      <c r="D5" s="5"/>
      <c r="E5" s="5"/>
    </row>
    <row r="6" spans="2:5">
      <c r="B6" s="4" t="s">
        <v>520</v>
      </c>
      <c r="C6" s="5" t="s">
        <v>521</v>
      </c>
      <c r="D6" s="5"/>
      <c r="E6" s="5"/>
    </row>
    <row r="7" spans="2:5">
      <c r="B7" s="4" t="s">
        <v>522</v>
      </c>
      <c r="C7" s="5" t="s">
        <v>523</v>
      </c>
      <c r="D7" s="5"/>
      <c r="E7" s="5"/>
    </row>
    <row r="8" spans="2:5">
      <c r="B8" s="6" t="s">
        <v>524</v>
      </c>
      <c r="C8" s="7" t="s">
        <v>525</v>
      </c>
      <c r="D8" s="7"/>
      <c r="E8" s="7"/>
    </row>
    <row r="9" spans="2:5">
      <c r="B9" s="6" t="s">
        <v>526</v>
      </c>
      <c r="C9" s="7" t="s">
        <v>527</v>
      </c>
      <c r="D9" s="7"/>
      <c r="E9" s="7"/>
    </row>
    <row r="10" spans="2:5">
      <c r="B10" s="8" t="s">
        <v>528</v>
      </c>
      <c r="C10" s="9" t="s">
        <v>529</v>
      </c>
      <c r="D10" s="9" t="s">
        <v>530</v>
      </c>
      <c r="E10" s="9"/>
    </row>
    <row r="13" ht="52.8" spans="2:5">
      <c r="B13" s="10" t="s">
        <v>531</v>
      </c>
      <c r="C13" s="11" t="s">
        <v>532</v>
      </c>
      <c r="D13" s="12" t="s">
        <v>533</v>
      </c>
      <c r="E13" s="12" t="s">
        <v>534</v>
      </c>
    </row>
    <row r="14" ht="52.8" spans="2:5">
      <c r="B14" s="10" t="s">
        <v>535</v>
      </c>
      <c r="C14" s="12" t="s">
        <v>536</v>
      </c>
      <c r="D14" s="12" t="s">
        <v>537</v>
      </c>
      <c r="E14" s="12" t="s">
        <v>538</v>
      </c>
    </row>
    <row r="15" ht="105.6" spans="2:5">
      <c r="B15" s="13" t="s">
        <v>539</v>
      </c>
      <c r="C15" s="12" t="s">
        <v>540</v>
      </c>
      <c r="D15" s="12" t="s">
        <v>541</v>
      </c>
      <c r="E15" s="12" t="s">
        <v>538</v>
      </c>
    </row>
    <row r="16" ht="66" spans="2:5">
      <c r="B16" s="14"/>
      <c r="C16" s="12" t="s">
        <v>542</v>
      </c>
      <c r="D16" s="12" t="s">
        <v>543</v>
      </c>
      <c r="E16" s="12" t="s">
        <v>538</v>
      </c>
    </row>
    <row r="17" ht="39.6" spans="2:5">
      <c r="B17" s="15"/>
      <c r="C17" s="12" t="s">
        <v>544</v>
      </c>
      <c r="D17" s="12" t="s">
        <v>545</v>
      </c>
      <c r="E17" s="12" t="s">
        <v>546</v>
      </c>
    </row>
    <row r="18" ht="52.8" spans="2:5">
      <c r="B18" s="10" t="s">
        <v>547</v>
      </c>
      <c r="C18" s="12" t="s">
        <v>548</v>
      </c>
      <c r="D18" s="12" t="s">
        <v>549</v>
      </c>
      <c r="E18" s="12" t="s">
        <v>538</v>
      </c>
    </row>
    <row r="19" ht="118.8" spans="2:5">
      <c r="B19" s="10" t="s">
        <v>550</v>
      </c>
      <c r="C19" s="12" t="s">
        <v>551</v>
      </c>
      <c r="D19" s="16" t="s">
        <v>552</v>
      </c>
      <c r="E19" s="12" t="s">
        <v>538</v>
      </c>
    </row>
  </sheetData>
  <mergeCells count="1">
    <mergeCell ref="B15:B17"/>
  </mergeCells>
  <pageMargins left="0.7" right="0.7" top="0.75" bottom="0.75" header="0.3" footer="0.3"/>
  <pageSetup paperSize="9" orientation="portrait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"/>
  <sheetViews>
    <sheetView zoomScale="85" zoomScaleNormal="85" topLeftCell="A10" workbookViewId="0">
      <selection activeCell="A1" sqref="A1"/>
    </sheetView>
  </sheetViews>
  <sheetFormatPr defaultColWidth="9" defaultRowHeight="14.4"/>
  <sheetData/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表紙</vt:lpstr>
      <vt:lpstr>履歴</vt:lpstr>
      <vt:lpstr>目録</vt:lpstr>
      <vt:lpstr>敬体形</vt:lpstr>
      <vt:lpstr>簡体形</vt:lpstr>
      <vt:lpstr>尊他语</vt:lpstr>
      <vt:lpstr>自謙語</vt:lpstr>
      <vt:lpstr>数量詞</vt:lpstr>
      <vt:lpstr>数量単位</vt:lpstr>
      <vt:lpstr>序数</vt:lpstr>
      <vt:lpstr>日</vt:lpstr>
      <vt:lpstr>他の時間</vt:lpstr>
      <vt:lpstr>世界各国</vt:lpstr>
      <vt:lpstr>英語</vt:lpstr>
      <vt:lpstr>コンピューター</vt:lpstr>
      <vt:lpstr>日本人はよく使うの表現抽出</vt:lpstr>
      <vt:lpstr>自他動詞区別方法</vt:lpstr>
      <vt:lpstr>常用自他動詞一覧表</vt:lpstr>
      <vt:lpstr>五类动词和一类动词的区分</vt:lpstr>
      <vt:lpstr>日语动词的12类边形</vt:lpstr>
      <vt:lpstr>单词长短音规律</vt:lpstr>
      <vt:lpstr>ように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☞花年</cp:lastModifiedBy>
  <dcterms:created xsi:type="dcterms:W3CDTF">2020-09-26T13:26:00Z</dcterms:created>
  <dcterms:modified xsi:type="dcterms:W3CDTF">2021-01-06T14:02:41Z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